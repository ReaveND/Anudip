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4FD2244-7CB0-4D2D-B22C-1F2DBE2665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Product_Reference" sheetId="2" r:id="rId2"/>
  </sheets>
  <definedNames>
    <definedName name="_xlnm._FilterDatabase" localSheetId="0" hidden="1">Orders!$A$1:$O$151</definedName>
    <definedName name="_xlnm._FilterDatabase" localSheetId="1" hidden="1">Product_Reference!$A$1:$F$26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4" i="1" l="1" a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2" i="1"/>
  <c r="AB44" i="1" s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2" i="1"/>
  <c r="AB22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2" i="1"/>
  <c r="AB39" i="1"/>
  <c r="AB26" i="1"/>
  <c r="AB8" i="1"/>
  <c r="AB30" i="1"/>
  <c r="AB17" i="1"/>
  <c r="AB12" i="1"/>
  <c r="AB4" i="1"/>
  <c r="AC35" i="1" l="1"/>
  <c r="L3" i="1"/>
  <c r="M3" i="1" s="1"/>
  <c r="N3" i="1" s="1"/>
  <c r="L4" i="1"/>
  <c r="M4" i="1"/>
  <c r="N4" i="1" s="1"/>
  <c r="L5" i="1"/>
  <c r="M5" i="1" s="1"/>
  <c r="N5" i="1" s="1"/>
  <c r="L6" i="1"/>
  <c r="M6" i="1" s="1"/>
  <c r="N6" i="1" s="1"/>
  <c r="L7" i="1"/>
  <c r="M7" i="1" s="1"/>
  <c r="N7" i="1" s="1"/>
  <c r="L8" i="1"/>
  <c r="M8" i="1" s="1"/>
  <c r="N8" i="1" s="1"/>
  <c r="L9" i="1"/>
  <c r="M9" i="1" s="1"/>
  <c r="N9" i="1" s="1"/>
  <c r="L10" i="1"/>
  <c r="M10" i="1" s="1"/>
  <c r="N10" i="1" s="1"/>
  <c r="L11" i="1"/>
  <c r="M11" i="1" s="1"/>
  <c r="N11" i="1" s="1"/>
  <c r="L12" i="1"/>
  <c r="M12" i="1" s="1"/>
  <c r="N12" i="1" s="1"/>
  <c r="L13" i="1"/>
  <c r="M13" i="1" s="1"/>
  <c r="N13" i="1" s="1"/>
  <c r="L14" i="1"/>
  <c r="M14" i="1" s="1"/>
  <c r="N14" i="1" s="1"/>
  <c r="L15" i="1"/>
  <c r="M15" i="1" s="1"/>
  <c r="N15" i="1" s="1"/>
  <c r="L16" i="1"/>
  <c r="M16" i="1" s="1"/>
  <c r="N16" i="1" s="1"/>
  <c r="L17" i="1"/>
  <c r="M17" i="1" s="1"/>
  <c r="N17" i="1" s="1"/>
  <c r="L18" i="1"/>
  <c r="M18" i="1" s="1"/>
  <c r="N18" i="1" s="1"/>
  <c r="L19" i="1"/>
  <c r="M19" i="1" s="1"/>
  <c r="N19" i="1" s="1"/>
  <c r="L20" i="1"/>
  <c r="M20" i="1"/>
  <c r="N20" i="1" s="1"/>
  <c r="L21" i="1"/>
  <c r="M21" i="1"/>
  <c r="N21" i="1" s="1"/>
  <c r="L22" i="1"/>
  <c r="M22" i="1" s="1"/>
  <c r="N22" i="1" s="1"/>
  <c r="L23" i="1"/>
  <c r="M23" i="1" s="1"/>
  <c r="N23" i="1" s="1"/>
  <c r="L24" i="1"/>
  <c r="M24" i="1" s="1"/>
  <c r="N24" i="1" s="1"/>
  <c r="L25" i="1"/>
  <c r="M25" i="1" s="1"/>
  <c r="N25" i="1" s="1"/>
  <c r="L26" i="1"/>
  <c r="M26" i="1"/>
  <c r="N26" i="1" s="1"/>
  <c r="L27" i="1"/>
  <c r="M27" i="1"/>
  <c r="N27" i="1" s="1"/>
  <c r="L28" i="1"/>
  <c r="M28" i="1"/>
  <c r="N28" i="1" s="1"/>
  <c r="L29" i="1"/>
  <c r="M29" i="1"/>
  <c r="N29" i="1" s="1"/>
  <c r="L30" i="1"/>
  <c r="M30" i="1"/>
  <c r="N30" i="1" s="1"/>
  <c r="L31" i="1"/>
  <c r="M31" i="1"/>
  <c r="N31" i="1" s="1"/>
  <c r="L32" i="1"/>
  <c r="M32" i="1" s="1"/>
  <c r="N32" i="1" s="1"/>
  <c r="L33" i="1"/>
  <c r="M33" i="1" s="1"/>
  <c r="N33" i="1" s="1"/>
  <c r="L34" i="1"/>
  <c r="M34" i="1" s="1"/>
  <c r="N34" i="1" s="1"/>
  <c r="L35" i="1"/>
  <c r="M35" i="1"/>
  <c r="N35" i="1" s="1"/>
  <c r="L36" i="1"/>
  <c r="M36" i="1" s="1"/>
  <c r="N36" i="1" s="1"/>
  <c r="L37" i="1"/>
  <c r="M37" i="1"/>
  <c r="N37" i="1" s="1"/>
  <c r="L38" i="1"/>
  <c r="M38" i="1" s="1"/>
  <c r="N38" i="1" s="1"/>
  <c r="L39" i="1"/>
  <c r="M39" i="1" s="1"/>
  <c r="N39" i="1" s="1"/>
  <c r="L40" i="1"/>
  <c r="M40" i="1" s="1"/>
  <c r="N40" i="1" s="1"/>
  <c r="L41" i="1"/>
  <c r="M41" i="1" s="1"/>
  <c r="N41" i="1" s="1"/>
  <c r="L42" i="1"/>
  <c r="M42" i="1" s="1"/>
  <c r="N42" i="1" s="1"/>
  <c r="L43" i="1"/>
  <c r="M43" i="1" s="1"/>
  <c r="N43" i="1" s="1"/>
  <c r="L44" i="1"/>
  <c r="M44" i="1" s="1"/>
  <c r="N44" i="1" s="1"/>
  <c r="L45" i="1"/>
  <c r="M45" i="1" s="1"/>
  <c r="N45" i="1" s="1"/>
  <c r="L46" i="1"/>
  <c r="M46" i="1" s="1"/>
  <c r="N46" i="1" s="1"/>
  <c r="L47" i="1"/>
  <c r="M47" i="1" s="1"/>
  <c r="N47" i="1" s="1"/>
  <c r="L48" i="1"/>
  <c r="M48" i="1" s="1"/>
  <c r="N48" i="1" s="1"/>
  <c r="L49" i="1"/>
  <c r="M49" i="1" s="1"/>
  <c r="N49" i="1" s="1"/>
  <c r="L50" i="1"/>
  <c r="M50" i="1"/>
  <c r="N50" i="1" s="1"/>
  <c r="L51" i="1"/>
  <c r="M51" i="1" s="1"/>
  <c r="N51" i="1" s="1"/>
  <c r="L52" i="1"/>
  <c r="M52" i="1" s="1"/>
  <c r="N52" i="1" s="1"/>
  <c r="L53" i="1"/>
  <c r="M53" i="1"/>
  <c r="N53" i="1" s="1"/>
  <c r="L54" i="1"/>
  <c r="M54" i="1"/>
  <c r="N54" i="1" s="1"/>
  <c r="L55" i="1"/>
  <c r="M55" i="1" s="1"/>
  <c r="N55" i="1" s="1"/>
  <c r="L56" i="1"/>
  <c r="M56" i="1" s="1"/>
  <c r="N56" i="1" s="1"/>
  <c r="L57" i="1"/>
  <c r="M57" i="1" s="1"/>
  <c r="N57" i="1" s="1"/>
  <c r="L59" i="1"/>
  <c r="M59" i="1" s="1"/>
  <c r="N59" i="1" s="1"/>
  <c r="L60" i="1"/>
  <c r="M60" i="1" s="1"/>
  <c r="N60" i="1" s="1"/>
  <c r="L61" i="1"/>
  <c r="M61" i="1" s="1"/>
  <c r="N61" i="1" s="1"/>
  <c r="L62" i="1"/>
  <c r="M62" i="1"/>
  <c r="N62" i="1" s="1"/>
  <c r="L63" i="1"/>
  <c r="M63" i="1" s="1"/>
  <c r="N63" i="1" s="1"/>
  <c r="L64" i="1"/>
  <c r="M64" i="1" s="1"/>
  <c r="N64" i="1" s="1"/>
  <c r="L65" i="1"/>
  <c r="M65" i="1" s="1"/>
  <c r="N65" i="1" s="1"/>
  <c r="L66" i="1"/>
  <c r="M66" i="1" s="1"/>
  <c r="N66" i="1" s="1"/>
  <c r="L67" i="1"/>
  <c r="M67" i="1" s="1"/>
  <c r="N67" i="1" s="1"/>
  <c r="L68" i="1"/>
  <c r="M68" i="1" s="1"/>
  <c r="N68" i="1" s="1"/>
  <c r="L69" i="1"/>
  <c r="M69" i="1" s="1"/>
  <c r="N69" i="1" s="1"/>
  <c r="L70" i="1"/>
  <c r="M70" i="1" s="1"/>
  <c r="N70" i="1" s="1"/>
  <c r="L71" i="1"/>
  <c r="M71" i="1"/>
  <c r="N71" i="1" s="1"/>
  <c r="L72" i="1"/>
  <c r="M72" i="1" s="1"/>
  <c r="N72" i="1" s="1"/>
  <c r="L73" i="1"/>
  <c r="M73" i="1" s="1"/>
  <c r="N73" i="1" s="1"/>
  <c r="L74" i="1"/>
  <c r="M74" i="1"/>
  <c r="N74" i="1" s="1"/>
  <c r="L75" i="1"/>
  <c r="M75" i="1" s="1"/>
  <c r="N75" i="1" s="1"/>
  <c r="L76" i="1"/>
  <c r="M76" i="1"/>
  <c r="N76" i="1" s="1"/>
  <c r="L77" i="1"/>
  <c r="M77" i="1" s="1"/>
  <c r="N77" i="1" s="1"/>
  <c r="L78" i="1"/>
  <c r="M78" i="1"/>
  <c r="N78" i="1" s="1"/>
  <c r="L79" i="1"/>
  <c r="M79" i="1"/>
  <c r="N79" i="1" s="1"/>
  <c r="L80" i="1"/>
  <c r="M80" i="1"/>
  <c r="N80" i="1" s="1"/>
  <c r="L81" i="1"/>
  <c r="M81" i="1" s="1"/>
  <c r="N81" i="1" s="1"/>
  <c r="L82" i="1"/>
  <c r="M82" i="1" s="1"/>
  <c r="N82" i="1" s="1"/>
  <c r="L83" i="1"/>
  <c r="M83" i="1"/>
  <c r="N83" i="1" s="1"/>
  <c r="L84" i="1"/>
  <c r="M84" i="1" s="1"/>
  <c r="N84" i="1" s="1"/>
  <c r="L85" i="1"/>
  <c r="M85" i="1" s="1"/>
  <c r="N85" i="1" s="1"/>
  <c r="L86" i="1"/>
  <c r="M86" i="1" s="1"/>
  <c r="N86" i="1" s="1"/>
  <c r="L87" i="1"/>
  <c r="M87" i="1"/>
  <c r="N87" i="1" s="1"/>
  <c r="L88" i="1"/>
  <c r="M88" i="1"/>
  <c r="N88" i="1" s="1"/>
  <c r="L89" i="1"/>
  <c r="M89" i="1" s="1"/>
  <c r="N89" i="1" s="1"/>
  <c r="L90" i="1"/>
  <c r="M90" i="1"/>
  <c r="N90" i="1" s="1"/>
  <c r="L91" i="1"/>
  <c r="M91" i="1" s="1"/>
  <c r="N91" i="1" s="1"/>
  <c r="L92" i="1"/>
  <c r="M92" i="1" s="1"/>
  <c r="N92" i="1" s="1"/>
  <c r="L93" i="1"/>
  <c r="M93" i="1"/>
  <c r="N93" i="1" s="1"/>
  <c r="L94" i="1"/>
  <c r="M94" i="1" s="1"/>
  <c r="N94" i="1" s="1"/>
  <c r="L95" i="1"/>
  <c r="M95" i="1" s="1"/>
  <c r="N95" i="1" s="1"/>
  <c r="L96" i="1"/>
  <c r="M96" i="1" s="1"/>
  <c r="N96" i="1" s="1"/>
  <c r="L97" i="1"/>
  <c r="M97" i="1" s="1"/>
  <c r="N97" i="1" s="1"/>
  <c r="L98" i="1"/>
  <c r="M98" i="1" s="1"/>
  <c r="N98" i="1" s="1"/>
  <c r="L99" i="1"/>
  <c r="M99" i="1" s="1"/>
  <c r="N99" i="1" s="1"/>
  <c r="L100" i="1"/>
  <c r="M100" i="1"/>
  <c r="N100" i="1" s="1"/>
  <c r="L101" i="1"/>
  <c r="M101" i="1" s="1"/>
  <c r="N101" i="1" s="1"/>
  <c r="L102" i="1"/>
  <c r="M102" i="1"/>
  <c r="N102" i="1" s="1"/>
  <c r="L103" i="1"/>
  <c r="M103" i="1" s="1"/>
  <c r="N103" i="1" s="1"/>
  <c r="L104" i="1"/>
  <c r="M104" i="1" s="1"/>
  <c r="N104" i="1" s="1"/>
  <c r="L105" i="1"/>
  <c r="M105" i="1"/>
  <c r="N105" i="1" s="1"/>
  <c r="L106" i="1"/>
  <c r="M106" i="1" s="1"/>
  <c r="N106" i="1" s="1"/>
  <c r="L107" i="1"/>
  <c r="M107" i="1" s="1"/>
  <c r="N107" i="1" s="1"/>
  <c r="L108" i="1"/>
  <c r="M108" i="1" s="1"/>
  <c r="N108" i="1" s="1"/>
  <c r="L109" i="1"/>
  <c r="M109" i="1"/>
  <c r="N109" i="1" s="1"/>
  <c r="L110" i="1"/>
  <c r="M110" i="1"/>
  <c r="N110" i="1" s="1"/>
  <c r="L111" i="1"/>
  <c r="M111" i="1"/>
  <c r="N111" i="1" s="1"/>
  <c r="L112" i="1"/>
  <c r="M112" i="1" s="1"/>
  <c r="N112" i="1" s="1"/>
  <c r="L113" i="1"/>
  <c r="M113" i="1" s="1"/>
  <c r="N113" i="1" s="1"/>
  <c r="L114" i="1"/>
  <c r="M114" i="1" s="1"/>
  <c r="N114" i="1" s="1"/>
  <c r="L115" i="1"/>
  <c r="M115" i="1" s="1"/>
  <c r="N115" i="1" s="1"/>
  <c r="L116" i="1"/>
  <c r="M116" i="1" s="1"/>
  <c r="N116" i="1" s="1"/>
  <c r="L117" i="1"/>
  <c r="M117" i="1" s="1"/>
  <c r="N117" i="1" s="1"/>
  <c r="L118" i="1"/>
  <c r="M118" i="1"/>
  <c r="N118" i="1" s="1"/>
  <c r="L119" i="1"/>
  <c r="M119" i="1" s="1"/>
  <c r="N119" i="1" s="1"/>
  <c r="L120" i="1"/>
  <c r="M120" i="1" s="1"/>
  <c r="N120" i="1" s="1"/>
  <c r="L121" i="1"/>
  <c r="M121" i="1" s="1"/>
  <c r="N121" i="1" s="1"/>
  <c r="L122" i="1"/>
  <c r="M122" i="1" s="1"/>
  <c r="N122" i="1" s="1"/>
  <c r="L123" i="1"/>
  <c r="M123" i="1" s="1"/>
  <c r="N123" i="1" s="1"/>
  <c r="L124" i="1"/>
  <c r="M124" i="1" s="1"/>
  <c r="N124" i="1" s="1"/>
  <c r="L125" i="1"/>
  <c r="M125" i="1" s="1"/>
  <c r="N125" i="1" s="1"/>
  <c r="L126" i="1"/>
  <c r="M126" i="1" s="1"/>
  <c r="N126" i="1" s="1"/>
  <c r="L127" i="1"/>
  <c r="M127" i="1" s="1"/>
  <c r="N127" i="1" s="1"/>
  <c r="L128" i="1"/>
  <c r="M128" i="1" s="1"/>
  <c r="N128" i="1" s="1"/>
  <c r="L129" i="1"/>
  <c r="M129" i="1" s="1"/>
  <c r="N129" i="1" s="1"/>
  <c r="L130" i="1"/>
  <c r="M130" i="1" s="1"/>
  <c r="N130" i="1" s="1"/>
  <c r="L131" i="1"/>
  <c r="M131" i="1" s="1"/>
  <c r="N131" i="1" s="1"/>
  <c r="L132" i="1"/>
  <c r="M132" i="1" s="1"/>
  <c r="N132" i="1" s="1"/>
  <c r="L133" i="1"/>
  <c r="M133" i="1" s="1"/>
  <c r="N133" i="1" s="1"/>
  <c r="L134" i="1"/>
  <c r="M134" i="1" s="1"/>
  <c r="N134" i="1" s="1"/>
  <c r="L135" i="1"/>
  <c r="M135" i="1" s="1"/>
  <c r="N135" i="1" s="1"/>
  <c r="L136" i="1"/>
  <c r="M136" i="1" s="1"/>
  <c r="N136" i="1" s="1"/>
  <c r="L137" i="1"/>
  <c r="M137" i="1" s="1"/>
  <c r="N137" i="1" s="1"/>
  <c r="L138" i="1"/>
  <c r="M138" i="1"/>
  <c r="N138" i="1" s="1"/>
  <c r="L139" i="1"/>
  <c r="M139" i="1" s="1"/>
  <c r="N139" i="1" s="1"/>
  <c r="L140" i="1"/>
  <c r="M140" i="1" s="1"/>
  <c r="N140" i="1" s="1"/>
  <c r="L141" i="1"/>
  <c r="M141" i="1" s="1"/>
  <c r="N141" i="1" s="1"/>
  <c r="L142" i="1"/>
  <c r="M142" i="1" s="1"/>
  <c r="N142" i="1" s="1"/>
  <c r="L143" i="1"/>
  <c r="M143" i="1" s="1"/>
  <c r="N143" i="1" s="1"/>
  <c r="L144" i="1"/>
  <c r="M144" i="1" s="1"/>
  <c r="N144" i="1" s="1"/>
  <c r="L145" i="1"/>
  <c r="M145" i="1" s="1"/>
  <c r="N145" i="1" s="1"/>
  <c r="L146" i="1"/>
  <c r="M146" i="1" s="1"/>
  <c r="N146" i="1" s="1"/>
  <c r="L147" i="1"/>
  <c r="M147" i="1" s="1"/>
  <c r="N147" i="1" s="1"/>
  <c r="L148" i="1"/>
  <c r="M148" i="1" s="1"/>
  <c r="N148" i="1" s="1"/>
  <c r="L149" i="1"/>
  <c r="M149" i="1" s="1"/>
  <c r="N149" i="1" s="1"/>
  <c r="L150" i="1"/>
  <c r="M150" i="1" s="1"/>
  <c r="N150" i="1" s="1"/>
  <c r="L151" i="1"/>
  <c r="M151" i="1" s="1"/>
  <c r="N151" i="1" s="1"/>
  <c r="L2" i="1"/>
  <c r="M2" i="1" s="1"/>
  <c r="N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<sst xmlns="http://schemas.openxmlformats.org/spreadsheetml/2006/main" count="1146" uniqueCount="373">
  <si>
    <t>Order_ID</t>
  </si>
  <si>
    <t>Order_Date</t>
  </si>
  <si>
    <t>Customer_ID</t>
  </si>
  <si>
    <t>Product_ID</t>
  </si>
  <si>
    <t>Quantity</t>
  </si>
  <si>
    <t>Unit_Price</t>
  </si>
  <si>
    <t>Discount_%</t>
  </si>
  <si>
    <t>Payment_Mode</t>
  </si>
  <si>
    <t>Region</t>
  </si>
  <si>
    <t>Salesperson</t>
  </si>
  <si>
    <t>ORD1001</t>
  </si>
  <si>
    <t>C043</t>
  </si>
  <si>
    <t>P107</t>
  </si>
  <si>
    <t>Cash</t>
  </si>
  <si>
    <t>East</t>
  </si>
  <si>
    <t>Priya</t>
  </si>
  <si>
    <t>ORD1002</t>
  </si>
  <si>
    <t>C024</t>
  </si>
  <si>
    <t>P119</t>
  </si>
  <si>
    <t>UPI</t>
  </si>
  <si>
    <t>South</t>
  </si>
  <si>
    <t>Amit</t>
  </si>
  <si>
    <t>ORD1003</t>
  </si>
  <si>
    <t>C044</t>
  </si>
  <si>
    <t>P122</t>
  </si>
  <si>
    <t>Net Banking</t>
  </si>
  <si>
    <t>West</t>
  </si>
  <si>
    <t>Sneha</t>
  </si>
  <si>
    <t>ORD1004</t>
  </si>
  <si>
    <t>C022</t>
  </si>
  <si>
    <t>P121</t>
  </si>
  <si>
    <t>Rahul</t>
  </si>
  <si>
    <t>ORD1005</t>
  </si>
  <si>
    <t>C052</t>
  </si>
  <si>
    <t>P110</t>
  </si>
  <si>
    <t>Card</t>
  </si>
  <si>
    <t>North</t>
  </si>
  <si>
    <t>Karan</t>
  </si>
  <si>
    <t>ORD1006</t>
  </si>
  <si>
    <t>C039</t>
  </si>
  <si>
    <t xml:space="preserve"> East </t>
  </si>
  <si>
    <t>ORD1007</t>
  </si>
  <si>
    <t>C026</t>
  </si>
  <si>
    <t>P114</t>
  </si>
  <si>
    <t>ORD1008</t>
  </si>
  <si>
    <t>C047</t>
  </si>
  <si>
    <t>P115</t>
  </si>
  <si>
    <t>ORD1009</t>
  </si>
  <si>
    <t>C006</t>
  </si>
  <si>
    <t>P118</t>
  </si>
  <si>
    <t>Neha</t>
  </si>
  <si>
    <t>ORD1010</t>
  </si>
  <si>
    <t>C010</t>
  </si>
  <si>
    <t>ORD1011</t>
  </si>
  <si>
    <t>C021</t>
  </si>
  <si>
    <t>P123</t>
  </si>
  <si>
    <t>ORD1012</t>
  </si>
  <si>
    <t>C060</t>
  </si>
  <si>
    <t>P124</t>
  </si>
  <si>
    <t>ORD1013</t>
  </si>
  <si>
    <t>P101</t>
  </si>
  <si>
    <t>east</t>
  </si>
  <si>
    <t>ORD1014</t>
  </si>
  <si>
    <t>C035</t>
  </si>
  <si>
    <t>ORD1015</t>
  </si>
  <si>
    <t>C007</t>
  </si>
  <si>
    <t>ORD1016</t>
  </si>
  <si>
    <t>ORD1017</t>
  </si>
  <si>
    <t>C014</t>
  </si>
  <si>
    <t>P103</t>
  </si>
  <si>
    <t>ORD1018</t>
  </si>
  <si>
    <t>C015</t>
  </si>
  <si>
    <t>ORD1019</t>
  </si>
  <si>
    <t>C032</t>
  </si>
  <si>
    <t>P113</t>
  </si>
  <si>
    <t>ORD1020</t>
  </si>
  <si>
    <t>ORD1021</t>
  </si>
  <si>
    <t>C057</t>
  </si>
  <si>
    <t>P102</t>
  </si>
  <si>
    <t>ORD1022</t>
  </si>
  <si>
    <t>C011</t>
  </si>
  <si>
    <t>P112</t>
  </si>
  <si>
    <t>ORD1023</t>
  </si>
  <si>
    <t>P125</t>
  </si>
  <si>
    <t>ORD1024</t>
  </si>
  <si>
    <t>C008</t>
  </si>
  <si>
    <t>ORD1025</t>
  </si>
  <si>
    <t>ORD1026</t>
  </si>
  <si>
    <t>P120</t>
  </si>
  <si>
    <t>ORD1027</t>
  </si>
  <si>
    <t>C017</t>
  </si>
  <si>
    <t>ORD1028</t>
  </si>
  <si>
    <t>C019</t>
  </si>
  <si>
    <t>ORD1029</t>
  </si>
  <si>
    <t>P106</t>
  </si>
  <si>
    <t xml:space="preserve">WEST </t>
  </si>
  <si>
    <t>ORD1030</t>
  </si>
  <si>
    <t>ORD1031</t>
  </si>
  <si>
    <t>C020</t>
  </si>
  <si>
    <t>P109</t>
  </si>
  <si>
    <t>ORD1032</t>
  </si>
  <si>
    <t>ORD1033</t>
  </si>
  <si>
    <t>C025</t>
  </si>
  <si>
    <t>P108</t>
  </si>
  <si>
    <t>ORD1034</t>
  </si>
  <si>
    <t>ORD1035</t>
  </si>
  <si>
    <t>C012</t>
  </si>
  <si>
    <t>P117</t>
  </si>
  <si>
    <t>ORD1036</t>
  </si>
  <si>
    <t xml:space="preserve"> C014 </t>
  </si>
  <si>
    <t>ORD1037</t>
  </si>
  <si>
    <t>C049</t>
  </si>
  <si>
    <t>ORD1038</t>
  </si>
  <si>
    <t>C029</t>
  </si>
  <si>
    <t>ORD1039</t>
  </si>
  <si>
    <t>C041</t>
  </si>
  <si>
    <t>ORD1040</t>
  </si>
  <si>
    <t>C056</t>
  </si>
  <si>
    <t>ORD1041</t>
  </si>
  <si>
    <t>C059</t>
  </si>
  <si>
    <t>ORD1042</t>
  </si>
  <si>
    <t>C054</t>
  </si>
  <si>
    <t xml:space="preserve"> north</t>
  </si>
  <si>
    <t>ORD1043</t>
  </si>
  <si>
    <t>C033</t>
  </si>
  <si>
    <t>ORD1044</t>
  </si>
  <si>
    <t>P104</t>
  </si>
  <si>
    <t>ORD1045</t>
  </si>
  <si>
    <t>ORD1046</t>
  </si>
  <si>
    <t>ORD1047</t>
  </si>
  <si>
    <t>C058</t>
  </si>
  <si>
    <t>ORD1048</t>
  </si>
  <si>
    <t>C027</t>
  </si>
  <si>
    <t>ORD1049</t>
  </si>
  <si>
    <t>ORD1050</t>
  </si>
  <si>
    <t>ORD1051</t>
  </si>
  <si>
    <t>ORD1052</t>
  </si>
  <si>
    <t>C028</t>
  </si>
  <si>
    <t>P116</t>
  </si>
  <si>
    <t>ORD1053</t>
  </si>
  <si>
    <t>ORD1054</t>
  </si>
  <si>
    <t>ORD1055</t>
  </si>
  <si>
    <t>ORD1056</t>
  </si>
  <si>
    <t>ORD1057</t>
  </si>
  <si>
    <t>ORD1058</t>
  </si>
  <si>
    <t>C023</t>
  </si>
  <si>
    <t>P105</t>
  </si>
  <si>
    <t>ORD1059</t>
  </si>
  <si>
    <t>ORD1060</t>
  </si>
  <si>
    <t>C016</t>
  </si>
  <si>
    <t>ORD1061</t>
  </si>
  <si>
    <t>ORD1062</t>
  </si>
  <si>
    <t>ORD1063</t>
  </si>
  <si>
    <t>C030</t>
  </si>
  <si>
    <t>ORD1064</t>
  </si>
  <si>
    <t>ORD1065</t>
  </si>
  <si>
    <t>ORD1066</t>
  </si>
  <si>
    <t>C050</t>
  </si>
  <si>
    <t>ORD1067</t>
  </si>
  <si>
    <t>C001</t>
  </si>
  <si>
    <t>ORD1068</t>
  </si>
  <si>
    <t xml:space="preserve"> Rahul </t>
  </si>
  <si>
    <t>ORD1069</t>
  </si>
  <si>
    <t>C051</t>
  </si>
  <si>
    <t>ORD1070</t>
  </si>
  <si>
    <t>ORD1071</t>
  </si>
  <si>
    <t>ORD1072</t>
  </si>
  <si>
    <t>ORD1073</t>
  </si>
  <si>
    <t>ORD1074</t>
  </si>
  <si>
    <t xml:space="preserve">C022 </t>
  </si>
  <si>
    <t>ORD1075</t>
  </si>
  <si>
    <t>C009</t>
  </si>
  <si>
    <t>ORD1076</t>
  </si>
  <si>
    <t>C053</t>
  </si>
  <si>
    <t>ORD1077</t>
  </si>
  <si>
    <t>ORD1078</t>
  </si>
  <si>
    <t>ORD1079</t>
  </si>
  <si>
    <t>ORD1080</t>
  </si>
  <si>
    <t>C040</t>
  </si>
  <si>
    <t>ORD1081</t>
  </si>
  <si>
    <t>C038</t>
  </si>
  <si>
    <t>ORD1082</t>
  </si>
  <si>
    <t>ORD1083</t>
  </si>
  <si>
    <t>ORD1084</t>
  </si>
  <si>
    <t>priya</t>
  </si>
  <si>
    <t>ORD1085</t>
  </si>
  <si>
    <t>C003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</si>
  <si>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</si>
  <si>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</si>
  <si>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</si>
  <si>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</si>
  <si>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</si>
  <si>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</si>
  <si>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</si>
  <si>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</si>
  <si>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C013</t>
  </si>
  <si>
    <t>ORD1094</t>
  </si>
  <si>
    <t>ORD1095</t>
  </si>
  <si>
    <t>ORD1096</t>
  </si>
  <si>
    <t>P111</t>
  </si>
  <si>
    <t>ORD1097</t>
  </si>
  <si>
    <t>ORD1098</t>
  </si>
  <si>
    <t xml:space="preserve"> AMIT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</si>
  <si>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</si>
  <si>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</si>
  <si>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</si>
  <si>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</si>
  <si>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</si>
  <si>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</si>
  <si>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</si>
  <si>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</si>
  <si>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C005</t>
  </si>
  <si>
    <t>ORD1107</t>
  </si>
  <si>
    <t>ORD1108</t>
  </si>
  <si>
    <t>C055</t>
  </si>
  <si>
    <t>ORD1109</t>
  </si>
  <si>
    <t>ORD1110</t>
  </si>
  <si>
    <t>ORD1111</t>
  </si>
  <si>
    <t>upi</t>
  </si>
  <si>
    <t>ORD1112</t>
  </si>
  <si>
    <t>C045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</si>
  <si>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</si>
  <si>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</si>
  <si>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</si>
  <si>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</si>
  <si>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</si>
  <si>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</si>
  <si>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</si>
  <si>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</si>
  <si>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C034</t>
  </si>
  <si>
    <t xml:space="preserve"> P108</t>
  </si>
  <si>
    <t>ORD1121</t>
  </si>
  <si>
    <t>C037</t>
  </si>
  <si>
    <t>ORD1122</t>
  </si>
  <si>
    <t>ORD1123</t>
  </si>
  <si>
    <t>ORD1124</t>
  </si>
  <si>
    <t>ORD1125</t>
  </si>
  <si>
    <t>C004</t>
  </si>
  <si>
    <t>ORD1126</t>
  </si>
  <si>
    <t>ORD1127</t>
  </si>
  <si>
    <t xml:space="preserve"> Card </t>
  </si>
  <si>
    <t>ORD1128</t>
  </si>
  <si>
    <t>ORD1129</t>
  </si>
  <si>
    <t>ORD1130</t>
  </si>
  <si>
    <t>C002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</si>
  <si>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</si>
  <si>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</si>
  <si>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</si>
  <si>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</si>
  <si>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</si>
  <si>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</si>
  <si>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</si>
  <si>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</si>
  <si>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</si>
  <si>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</si>
  <si>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</si>
  <si>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</si>
  <si>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</si>
  <si>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</si>
  <si>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</si>
  <si>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C036</t>
  </si>
  <si>
    <t xml:space="preserve">P121 </t>
  </si>
  <si>
    <t>ORD1146</t>
  </si>
  <si>
    <t>ORD1147</t>
  </si>
  <si>
    <t>C018</t>
  </si>
  <si>
    <t>ORD1148</t>
  </si>
  <si>
    <t>ORD1149</t>
  </si>
  <si>
    <t>ORD1150</t>
  </si>
  <si>
    <t>Product_Name</t>
  </si>
  <si>
    <t>Category</t>
  </si>
  <si>
    <t>Brand</t>
  </si>
  <si>
    <t>Supplier</t>
  </si>
  <si>
    <t>Product_Rating</t>
  </si>
  <si>
    <t>Laptop Pro 14</t>
  </si>
  <si>
    <t>Electronics</t>
  </si>
  <si>
    <t>TechPro</t>
  </si>
  <si>
    <t>ABC Ltd</t>
  </si>
  <si>
    <t>Wireless Mouse</t>
  </si>
  <si>
    <t>Accessories</t>
  </si>
  <si>
    <t>ClickTech</t>
  </si>
  <si>
    <t>XYZ Ltd</t>
  </si>
  <si>
    <t>Smartphone X</t>
  </si>
  <si>
    <t>MobileMax</t>
  </si>
  <si>
    <t>Tablet 10</t>
  </si>
  <si>
    <t>TabWorld</t>
  </si>
  <si>
    <t>PQR Ltd</t>
  </si>
  <si>
    <t>Mechanical Keyboard</t>
  </si>
  <si>
    <t>KeyMaster</t>
  </si>
  <si>
    <t>Bluetooth Speaker</t>
  </si>
  <si>
    <t>Audio</t>
  </si>
  <si>
    <t>SoundMax</t>
  </si>
  <si>
    <t>LMN Ltd</t>
  </si>
  <si>
    <t>USB-C Hub</t>
  </si>
  <si>
    <t>ConnectPro</t>
  </si>
  <si>
    <t>Smart Watch</t>
  </si>
  <si>
    <t>Wearables</t>
  </si>
  <si>
    <t>FitTech</t>
  </si>
  <si>
    <t>Noise Cancelling Headphones</t>
  </si>
  <si>
    <t>External SSD 1TB</t>
  </si>
  <si>
    <t>Storage</t>
  </si>
  <si>
    <t>DataDrive</t>
  </si>
  <si>
    <t>Gaming Monitor 24</t>
  </si>
  <si>
    <t>ViewMax</t>
  </si>
  <si>
    <t>Webcam HD</t>
  </si>
  <si>
    <t>VisionTech</t>
  </si>
  <si>
    <t>Wireless Earbuds</t>
  </si>
  <si>
    <t>Power Bank 20000mAh</t>
  </si>
  <si>
    <t>PowerPlus</t>
  </si>
  <si>
    <t>Smart TV 43</t>
  </si>
  <si>
    <t>Fitness Band</t>
  </si>
  <si>
    <t>Laptop Stand</t>
  </si>
  <si>
    <t>ErgoTech</t>
  </si>
  <si>
    <t>Mechanical Pencil Set</t>
  </si>
  <si>
    <t>Stationery</t>
  </si>
  <si>
    <t>WriteWell</t>
  </si>
  <si>
    <t>Office Chair</t>
  </si>
  <si>
    <t>Furniture</t>
  </si>
  <si>
    <t>ComfortPro</t>
  </si>
  <si>
    <t>Desk Lamp</t>
  </si>
  <si>
    <t>BrightHome</t>
  </si>
  <si>
    <t>Portable Projector</t>
  </si>
  <si>
    <t>Router AX1800</t>
  </si>
  <si>
    <t>Networking</t>
  </si>
  <si>
    <t>NetLink</t>
  </si>
  <si>
    <t>Wi-Fi Range Extender</t>
  </si>
  <si>
    <t>Tablet Keyboard</t>
  </si>
  <si>
    <t>Laser Printer</t>
  </si>
  <si>
    <t>Office Equipment</t>
  </si>
  <si>
    <t>PrintPro</t>
  </si>
  <si>
    <t>Total Orders</t>
  </si>
  <si>
    <t>Total Qty Sold</t>
  </si>
  <si>
    <t>No.of Orders</t>
  </si>
  <si>
    <t xml:space="preserve">1. Calculate the total number of orders in the dataset. </t>
  </si>
  <si>
    <t>2. Calculate the total quantity of products sold.</t>
  </si>
  <si>
    <t xml:space="preserve">3. Calculate the average quantity ordered per order. </t>
  </si>
  <si>
    <t xml:space="preserve">4. Find the number of orders made using each payment mode: UPI, Card, Cash, and Net Banking. </t>
  </si>
  <si>
    <t xml:space="preserve">5. Find the number of orders received from each region: East, West, North, and South. </t>
  </si>
  <si>
    <t>No. of Orders</t>
  </si>
  <si>
    <t>6. Find the number of orders where Quantity is greater than or equal to 3.</t>
  </si>
  <si>
    <t>No. of Orders gte 3</t>
  </si>
  <si>
    <t>7. Find the number of orders where Discount is greater than 10%.</t>
  </si>
  <si>
    <t>No. orders disc &gt; 10%</t>
  </si>
  <si>
    <t>8. Find the number of orders where Payment Mode is UPI and Region is East.</t>
  </si>
  <si>
    <t xml:space="preserve">9. Find the number of orders where Quantity is greater than or equal to 3 and Discount is greater than or equal to 10%. </t>
  </si>
  <si>
    <t>10. Find the number of orders handled by each salesperson.</t>
  </si>
  <si>
    <t>Gross Amount</t>
  </si>
  <si>
    <t>11. Create a Gross Amount column. Calculate the gross amount for every order using Quantity and Unit Price.</t>
  </si>
  <si>
    <t>Discount Amount</t>
  </si>
  <si>
    <t>12. Create a Discount Amount column. Calculate the discount amount for every order.</t>
  </si>
  <si>
    <t>Net Sales</t>
  </si>
  <si>
    <t>13. Create a Net Sales column. Calculate the final sales value after deducting the discount.</t>
  </si>
  <si>
    <t>Average Qty Ordered</t>
  </si>
  <si>
    <t xml:space="preserve">14. Create a Sales Category column. Classify each order as High Value, Medium Value, or Low Value based on Net Sales: High Value = ₹50,000 or more; Medium Value = ₹20,000 or more but below ₹50,000; Low Value = below ₹20,000. </t>
  </si>
  <si>
    <t>Sales Category</t>
  </si>
  <si>
    <t>15. Create an Order Priority column. Classify an order as High when Quantity is at least 5 AND Discount is at least 15%; Medium when Quantity is at least 3 OR Discount is at least 10%; otherwise classify it as Low.</t>
  </si>
  <si>
    <t>Order Priority</t>
  </si>
  <si>
    <t>Customer_ID (Num)</t>
  </si>
  <si>
    <t>16. Create a new column containing only the numeric portion of Customer_ID. For example, C001 should return 001.</t>
  </si>
  <si>
    <t xml:space="preserve">17. Create a new column containing only the numeric portion of Product_ID. For example, P101 should return 101. </t>
  </si>
  <si>
    <t>Product_ID (Num)</t>
  </si>
  <si>
    <t xml:space="preserve">18. Create a cleaned Salesperson column in Proper Case. </t>
  </si>
  <si>
    <t>Salesperson (Cleaned)</t>
  </si>
  <si>
    <t>Region (Cleaned)</t>
  </si>
  <si>
    <t/>
  </si>
  <si>
    <t>19. Create a cleaned Region column by removing unnecessary leading and trailing spaces.</t>
  </si>
  <si>
    <t>20. Using VLOOKUP, retrieve the Product Name for every order.</t>
  </si>
  <si>
    <t>Product Name</t>
  </si>
  <si>
    <t>21. Using VLOOKUP, retrieve the Category for every order.</t>
  </si>
  <si>
    <t xml:space="preserve">22. Using VLOOKUP, retrieve the Brand for every order. </t>
  </si>
  <si>
    <t>23. Using VLOOKUP, retrieve the Supplier for every order.</t>
  </si>
  <si>
    <t>24. Using VLOOKUP, retrieve the Product Rating for every order.</t>
  </si>
  <si>
    <t>Product Rating</t>
  </si>
  <si>
    <t xml:space="preserve">25. Retrieve Product Name, Category, Brand, Supplier, and Product Rating using the multi-value VLOOKUP technique covered in class.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</si>
</sst>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  <xf numFmtId="2" fontId="0" fillId="0" borderId="1" xfId="0" applyNumberFormat="1" applyBorder="1"/>
    <xf numFmtId="0" fontId="2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1" xfId="0" applyFill="1" applyBorder="1"/>
    <xf numFmtId="0" fontId="1" fillId="3" borderId="2" xfId="0" applyFont="1" applyFill="1" applyBorder="1" applyAlignment="1">
      <alignment horizontal="center"/>
    </xf>
    <xf numFmtId="0" fontId="0" fillId="3" borderId="1" xfId="0" applyFill="1" applyBorder="1"/>
    <xf numFmtId="0" fontId="0" fillId="0" borderId="0" xfId="0" applyAlignment="1"/>
    <xf numFmtId="0" fontId="1" fillId="4" borderId="2" xfId="0" applyFont="1" applyFill="1" applyBorder="1" applyAlignment="1">
      <alignment horizontal="center"/>
    </xf>
    <xf numFmtId="0" fontId="0" fillId="4" borderId="1" xfId="0" applyFill="1" applyBorder="1"/>
    <xf numFmtId="0" fontId="1" fillId="5" borderId="2" xfId="0" applyFont="1" applyFill="1" applyBorder="1" applyAlignment="1">
      <alignment horizontal="center"/>
    </xf>
    <xf numFmtId="0" fontId="0" fillId="5" borderId="1" xfId="0" applyFill="1" applyBorder="1"/>
    <xf numFmtId="0" fontId="1" fillId="6" borderId="2" xfId="0" applyFont="1" applyFill="1" applyBorder="1" applyAlignment="1">
      <alignment horizontal="center"/>
    </xf>
    <xf numFmtId="0" fontId="0" fillId="6" borderId="1" xfId="0" applyFill="1" applyBorder="1"/>
    <xf numFmtId="0" fontId="2" fillId="0" borderId="0" xfId="0" applyFont="1"/>
    <xf numFmtId="0" fontId="0" fillId="0" borderId="3" xfId="0" applyBorder="1"/>
    <xf numFmtId="0" fontId="0" fillId="4" borderId="0" xfId="0" applyFill="1" applyAlignment="1"/>
    <xf numFmtId="0" fontId="0" fillId="5" borderId="0" xfId="0" applyFill="1" applyAlignment="1"/>
    <xf numFmtId="0" fontId="0" fillId="0" borderId="0" xfId="0" applyBorder="1"/>
    <xf numFmtId="0" fontId="0" fillId="2" borderId="0" xfId="0" applyFill="1" applyAlignment="1"/>
    <xf numFmtId="0" fontId="0" fillId="3" borderId="0" xfId="0" applyFill="1" applyAlignment="1"/>
    <xf numFmtId="0" fontId="0" fillId="6" borderId="0" xfId="0" applyFill="1" applyAlignment="1"/>
    <xf numFmtId="0" fontId="2" fillId="0" borderId="1" xfId="0" applyFont="1" applyFill="1" applyBorder="1"/>
    <xf numFmtId="0" fontId="0" fillId="0" borderId="1" xfId="0" applyFont="1" applyBorder="1"/>
    <xf numFmtId="0" fontId="2" fillId="0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51"/>
  <sheetViews>
    <sheetView tabSelected="1" topLeftCell="AA1" workbookViewId="0">
      <pane ySplit="1" topLeftCell="A16" activePane="bottomLeft" state="frozen"/>
      <selection pane="bottomLeft" activeCell="AL25" sqref="AL25"/>
    </sheetView>
  </sheetViews>
  <sheetFormatPr defaultRowHeight="14.4" x14ac:dyDescent="0.3"/>
  <cols>
    <col min="1" max="1" width="12" customWidth="1"/>
    <col min="2" max="2" width="21" customWidth="1"/>
    <col min="3" max="3" width="13" customWidth="1"/>
    <col min="4" max="7" width="12" customWidth="1"/>
    <col min="8" max="8" width="14" customWidth="1"/>
    <col min="9" max="9" width="12" customWidth="1"/>
    <col min="10" max="10" width="13" customWidth="1"/>
    <col min="11" max="11" width="12.88671875" bestFit="1" customWidth="1"/>
    <col min="12" max="12" width="15.77734375" bestFit="1" customWidth="1"/>
    <col min="13" max="13" width="12.109375" bestFit="1" customWidth="1"/>
    <col min="14" max="14" width="13.33203125" bestFit="1" customWidth="1"/>
    <col min="15" max="15" width="12.33203125" bestFit="1" customWidth="1"/>
    <col min="16" max="16" width="18" bestFit="1" customWidth="1"/>
    <col min="17" max="17" width="16.44140625" bestFit="1" customWidth="1"/>
    <col min="18" max="18" width="19.109375" customWidth="1"/>
    <col min="19" max="19" width="15.44140625" bestFit="1" customWidth="1"/>
    <col min="20" max="20" width="25.21875" bestFit="1" customWidth="1"/>
    <col min="21" max="21" width="15.21875" bestFit="1" customWidth="1"/>
    <col min="22" max="23" width="10.88671875" bestFit="1" customWidth="1"/>
    <col min="24" max="24" width="13.5546875" bestFit="1" customWidth="1"/>
    <col min="27" max="27" width="19.109375" customWidth="1"/>
    <col min="28" max="29" width="12.21875" bestFit="1" customWidth="1"/>
    <col min="30" max="30" width="10.77734375" bestFit="1" customWidth="1"/>
    <col min="34" max="34" width="10.44140625" bestFit="1" customWidth="1"/>
    <col min="35" max="35" width="25.21875" bestFit="1" customWidth="1"/>
    <col min="36" max="36" width="10.44140625" bestFit="1" customWidth="1"/>
    <col min="37" max="37" width="10.5546875" bestFit="1" customWidth="1"/>
    <col min="38" max="38" width="7.88671875" bestFit="1" customWidth="1"/>
    <col min="39" max="39" width="13.5546875" bestFit="1" customWidth="1"/>
  </cols>
  <sheetData>
    <row r="1" spans="1:5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345</v>
      </c>
      <c r="L1" s="9" t="s">
        <v>347</v>
      </c>
      <c r="M1" s="12" t="s">
        <v>349</v>
      </c>
      <c r="N1" s="14" t="s">
        <v>353</v>
      </c>
      <c r="O1" s="16" t="s">
        <v>355</v>
      </c>
      <c r="P1" s="4" t="s">
        <v>356</v>
      </c>
      <c r="Q1" s="18" t="s">
        <v>359</v>
      </c>
      <c r="R1" s="4" t="s">
        <v>361</v>
      </c>
      <c r="S1" s="26" t="s">
        <v>362</v>
      </c>
      <c r="T1" s="28" t="s">
        <v>366</v>
      </c>
      <c r="U1" s="28" t="s">
        <v>269</v>
      </c>
      <c r="V1" s="28" t="s">
        <v>270</v>
      </c>
      <c r="W1" s="28" t="s">
        <v>271</v>
      </c>
      <c r="X1" s="28" t="s">
        <v>371</v>
      </c>
    </row>
    <row r="2" spans="1:55" x14ac:dyDescent="0.3">
      <c r="A2" s="2" t="s">
        <v>10</v>
      </c>
      <c r="B2" s="3">
        <v>46037</v>
      </c>
      <c r="C2" s="2" t="s">
        <v>11</v>
      </c>
      <c r="D2" s="2" t="s">
        <v>12</v>
      </c>
      <c r="E2" s="2">
        <v>2</v>
      </c>
      <c r="F2" s="2">
        <v>2200</v>
      </c>
      <c r="G2" s="2">
        <v>0.12</v>
      </c>
      <c r="H2" s="2" t="s">
        <v>13</v>
      </c>
      <c r="I2" s="2" t="s">
        <v>14</v>
      </c>
      <c r="J2" s="2" t="s">
        <v>15</v>
      </c>
      <c r="K2" s="8">
        <f>PRODUCT(E2,F2)</f>
        <v>4400</v>
      </c>
      <c r="L2" s="10">
        <f>PRODUCT(K2,G2)</f>
        <v>528</v>
      </c>
      <c r="M2" s="13">
        <f>K2-L2</f>
        <v>3872</v>
      </c>
      <c r="N2" s="15" t="str">
        <f>IF(M2&gt;=50000,"High Value",IF(M2&gt;=20000,"Medium Value","Low Value"))</f>
        <v>Low Value</v>
      </c>
      <c r="O2" s="17" t="str">
        <f>IF(AND(E2&gt;=5,G2&gt;=15%),"High",IF(OR(E2&gt;=3,G2&gt;=10%),"Medium","Low"))</f>
        <v>Medium</v>
      </c>
      <c r="P2" s="2" t="str">
        <f>RIGHT(C2,3)</f>
        <v>043</v>
      </c>
      <c r="Q2" s="19" t="str">
        <f>RIGHT(D2,3)</f>
        <v>107</v>
      </c>
      <c r="R2" s="2" t="str">
        <f>PROPER(TRIM(J2))</f>
        <v>Priya</v>
      </c>
      <c r="S2" s="2" t="str">
        <f>TRIM(PROPER(I2))</f>
        <v>East</v>
      </c>
      <c r="T2" s="2" t="str">
        <f>IFERROR(VLOOKUP(D2,Product_Reference!$A$1:$F$26,2,0),"Not Found!!")</f>
        <v>USB-C Hub</v>
      </c>
      <c r="U2" s="2" t="str">
        <f>IFERROR(VLOOKUP(D2,Product_Reference!$A$1:$F$26,3,0),"Not Found!!")</f>
        <v>Accessories</v>
      </c>
      <c r="V2" s="2" t="str">
        <f>IFERROR(VLOOKUP(D2,Product_Reference!$A$1:$F$26,4,0),"Not Found!!")</f>
        <v>ConnectPro</v>
      </c>
      <c r="W2" s="2" t="str">
        <f>IFERROR(VLOOKUP(D2,Product_Reference!$A$1:$F$26,5,0),"Not Found!!")</f>
        <v>PQR Ltd</v>
      </c>
      <c r="X2" s="2">
        <f>IFERROR(VLOOKUP(D2,Product_Reference!$A$1:$F$26,6,0),"Not Found!!")</f>
        <v>4.3</v>
      </c>
      <c r="AA2" t="s">
        <v>332</v>
      </c>
      <c r="AH2" s="23" t="s">
        <v>346</v>
      </c>
      <c r="AI2" s="23"/>
      <c r="AJ2" s="23"/>
      <c r="AK2" s="23"/>
      <c r="AL2" s="23"/>
      <c r="AM2" s="23"/>
      <c r="AN2" s="23"/>
      <c r="AO2" s="23"/>
      <c r="AP2" s="23"/>
      <c r="AQ2" s="23"/>
    </row>
    <row r="3" spans="1:55" x14ac:dyDescent="0.3">
      <c r="A3" s="2" t="s">
        <v>16</v>
      </c>
      <c r="B3" s="3">
        <v>46097</v>
      </c>
      <c r="C3" s="2" t="s">
        <v>17</v>
      </c>
      <c r="D3" s="2" t="s">
        <v>18</v>
      </c>
      <c r="E3" s="2">
        <v>3</v>
      </c>
      <c r="F3" s="2">
        <v>12500</v>
      </c>
      <c r="G3" s="2">
        <v>0.08</v>
      </c>
      <c r="H3" s="2" t="s">
        <v>19</v>
      </c>
      <c r="I3" s="2" t="s">
        <v>20</v>
      </c>
      <c r="J3" s="2" t="s">
        <v>21</v>
      </c>
      <c r="K3" s="8">
        <f t="shared" ref="K3:K66" si="0">PRODUCT(E3,F3)</f>
        <v>37500</v>
      </c>
      <c r="L3" s="10">
        <f t="shared" ref="L3:L66" si="1">PRODUCT(K3,G3)</f>
        <v>3000</v>
      </c>
      <c r="M3" s="13">
        <f t="shared" ref="M3:M66" si="2">K3-L3</f>
        <v>34500</v>
      </c>
      <c r="N3" s="15" t="str">
        <f t="shared" ref="N3:N66" si="3">IF(M3&gt;=50000,"High Value",IF(M3&gt;=20000,"Medium Value","Low Value"))</f>
        <v>Medium Value</v>
      </c>
      <c r="O3" s="17" t="str">
        <f t="shared" ref="O3:O66" si="4">IF(AND(E3&gt;=5,G3&gt;=15%),"High",IF(OR(E3&gt;=3,G3&gt;=10%),"Medium","Low"))</f>
        <v>Medium</v>
      </c>
      <c r="P3" s="2" t="str">
        <f t="shared" ref="P3:P66" si="5">RIGHT(C3,3)</f>
        <v>024</v>
      </c>
      <c r="Q3" s="2" t="str">
        <f t="shared" ref="Q3:Q66" si="6">RIGHT(D3,3)</f>
        <v>119</v>
      </c>
      <c r="R3" s="2" t="str">
        <f t="shared" ref="R3:R66" si="7">PROPER(TRIM(J3))</f>
        <v>Amit</v>
      </c>
      <c r="S3" s="2" t="str">
        <f t="shared" ref="S3:S66" si="8">TRIM(PROPER(I3))</f>
        <v>South</v>
      </c>
      <c r="T3" s="2" t="str">
        <f>IFERROR(VLOOKUP(D3,Product_Reference!$A$1:$F$26,2,0),"Not Found!!")</f>
        <v>Office Chair</v>
      </c>
      <c r="U3" s="2" t="str">
        <f>IFERROR(VLOOKUP(D3,Product_Reference!$A$1:$F$26,3,0),"Not Found!!")</f>
        <v>Furniture</v>
      </c>
      <c r="V3" s="2" t="str">
        <f>IFERROR(VLOOKUP(D3,Product_Reference!$A$1:$F$26,4,0),"Not Found!!")</f>
        <v>ComfortPro</v>
      </c>
      <c r="W3" s="2" t="str">
        <f>IFERROR(VLOOKUP(D3,Product_Reference!$A$1:$F$26,5,0),"Not Found!!")</f>
        <v>ABC Ltd</v>
      </c>
      <c r="X3" s="2">
        <f>IFERROR(VLOOKUP(D3,Product_Reference!$A$1:$F$26,6,0),"Not Found!!")</f>
        <v>4.2</v>
      </c>
      <c r="AD3" s="2" t="s">
        <v>13</v>
      </c>
      <c r="AF3" s="2" t="s">
        <v>14</v>
      </c>
    </row>
    <row r="4" spans="1:55" x14ac:dyDescent="0.3">
      <c r="A4" s="2" t="s">
        <v>22</v>
      </c>
      <c r="B4" s="3">
        <v>46110</v>
      </c>
      <c r="C4" s="2" t="s">
        <v>23</v>
      </c>
      <c r="D4" s="2" t="s">
        <v>24</v>
      </c>
      <c r="E4" s="2">
        <v>2</v>
      </c>
      <c r="F4" s="2">
        <v>5500</v>
      </c>
      <c r="G4" s="2">
        <v>0.05</v>
      </c>
      <c r="H4" s="2" t="s">
        <v>25</v>
      </c>
      <c r="I4" s="2" t="s">
        <v>26</v>
      </c>
      <c r="J4" s="2" t="s">
        <v>27</v>
      </c>
      <c r="K4" s="8">
        <f t="shared" si="0"/>
        <v>11000</v>
      </c>
      <c r="L4" s="10">
        <f t="shared" si="1"/>
        <v>550</v>
      </c>
      <c r="M4" s="13">
        <f t="shared" si="2"/>
        <v>10450</v>
      </c>
      <c r="N4" s="15" t="str">
        <f t="shared" si="3"/>
        <v>Low Value</v>
      </c>
      <c r="O4" s="17" t="str">
        <f t="shared" si="4"/>
        <v>Low</v>
      </c>
      <c r="P4" s="2" t="str">
        <f t="shared" si="5"/>
        <v>044</v>
      </c>
      <c r="Q4" s="2" t="str">
        <f t="shared" si="6"/>
        <v>122</v>
      </c>
      <c r="R4" s="2" t="str">
        <f t="shared" si="7"/>
        <v>Sneha</v>
      </c>
      <c r="S4" s="2" t="str">
        <f t="shared" si="8"/>
        <v>West</v>
      </c>
      <c r="T4" s="2" t="str">
        <f>IFERROR(VLOOKUP(D4,Product_Reference!$A$1:$F$26,2,0),"Not Found!!")</f>
        <v>Router AX1800</v>
      </c>
      <c r="U4" s="2" t="str">
        <f>IFERROR(VLOOKUP(D4,Product_Reference!$A$1:$F$26,3,0),"Not Found!!")</f>
        <v>Networking</v>
      </c>
      <c r="V4" s="2" t="str">
        <f>IFERROR(VLOOKUP(D4,Product_Reference!$A$1:$F$26,4,0),"Not Found!!")</f>
        <v>NetLink</v>
      </c>
      <c r="W4" s="2" t="str">
        <f>IFERROR(VLOOKUP(D4,Product_Reference!$A$1:$F$26,5,0),"Not Found!!")</f>
        <v>ABC Ltd</v>
      </c>
      <c r="X4" s="2">
        <f>IFERROR(VLOOKUP(D4,Product_Reference!$A$1:$F$26,6,0),"Not Found!!")</f>
        <v>4.5</v>
      </c>
      <c r="AA4" s="4" t="s">
        <v>329</v>
      </c>
      <c r="AB4" s="2">
        <f>COUNTA(A2:A151)</f>
        <v>150</v>
      </c>
      <c r="AD4" s="2" t="s">
        <v>19</v>
      </c>
      <c r="AF4" s="2" t="s">
        <v>20</v>
      </c>
      <c r="AH4" s="24" t="s">
        <v>348</v>
      </c>
      <c r="AI4" s="24"/>
      <c r="AJ4" s="24"/>
      <c r="AK4" s="24"/>
      <c r="AL4" s="24"/>
      <c r="AM4" s="24"/>
      <c r="AN4" s="24"/>
      <c r="AO4" s="24"/>
    </row>
    <row r="5" spans="1:55" x14ac:dyDescent="0.3">
      <c r="A5" s="2" t="s">
        <v>28</v>
      </c>
      <c r="B5" s="3">
        <v>46080</v>
      </c>
      <c r="C5" s="2" t="s">
        <v>29</v>
      </c>
      <c r="D5" s="2" t="s">
        <v>30</v>
      </c>
      <c r="E5" s="2">
        <v>1</v>
      </c>
      <c r="F5" s="2">
        <v>30000</v>
      </c>
      <c r="G5" s="2">
        <v>0.1</v>
      </c>
      <c r="H5" s="2" t="s">
        <v>19</v>
      </c>
      <c r="I5" s="2" t="s">
        <v>14</v>
      </c>
      <c r="J5" s="2" t="s">
        <v>31</v>
      </c>
      <c r="K5" s="8">
        <f t="shared" si="0"/>
        <v>30000</v>
      </c>
      <c r="L5" s="10">
        <f t="shared" si="1"/>
        <v>3000</v>
      </c>
      <c r="M5" s="13">
        <f t="shared" si="2"/>
        <v>27000</v>
      </c>
      <c r="N5" s="15" t="str">
        <f t="shared" si="3"/>
        <v>Medium Value</v>
      </c>
      <c r="O5" s="17" t="str">
        <f t="shared" si="4"/>
        <v>Medium</v>
      </c>
      <c r="P5" s="2" t="str">
        <f t="shared" si="5"/>
        <v>022</v>
      </c>
      <c r="Q5" s="2" t="str">
        <f t="shared" si="6"/>
        <v>121</v>
      </c>
      <c r="R5" s="2" t="str">
        <f t="shared" si="7"/>
        <v>Rahul</v>
      </c>
      <c r="S5" s="2" t="str">
        <f t="shared" si="8"/>
        <v>East</v>
      </c>
      <c r="T5" s="2" t="str">
        <f>IFERROR(VLOOKUP(D5,Product_Reference!$A$1:$F$26,2,0),"Not Found!!")</f>
        <v>Portable Projector</v>
      </c>
      <c r="U5" s="2" t="str">
        <f>IFERROR(VLOOKUP(D5,Product_Reference!$A$1:$F$26,3,0),"Not Found!!")</f>
        <v>Electronics</v>
      </c>
      <c r="V5" s="2" t="str">
        <f>IFERROR(VLOOKUP(D5,Product_Reference!$A$1:$F$26,4,0),"Not Found!!")</f>
        <v>ViewMax</v>
      </c>
      <c r="W5" s="2" t="str">
        <f>IFERROR(VLOOKUP(D5,Product_Reference!$A$1:$F$26,5,0),"Not Found!!")</f>
        <v>PQR Ltd</v>
      </c>
      <c r="X5" s="2">
        <f>IFERROR(VLOOKUP(D5,Product_Reference!$A$1:$F$26,6,0),"Not Found!!")</f>
        <v>4.0999999999999996</v>
      </c>
      <c r="AD5" s="2" t="s">
        <v>25</v>
      </c>
      <c r="AF5" s="2" t="s">
        <v>26</v>
      </c>
    </row>
    <row r="6" spans="1:55" x14ac:dyDescent="0.3">
      <c r="A6" s="2" t="s">
        <v>32</v>
      </c>
      <c r="B6" s="3">
        <v>46077</v>
      </c>
      <c r="C6" s="2" t="s">
        <v>33</v>
      </c>
      <c r="D6" s="2" t="s">
        <v>34</v>
      </c>
      <c r="E6" s="2">
        <v>1</v>
      </c>
      <c r="F6" s="2">
        <v>9000</v>
      </c>
      <c r="G6" s="2">
        <v>0.1</v>
      </c>
      <c r="H6" s="2" t="s">
        <v>35</v>
      </c>
      <c r="I6" s="2" t="s">
        <v>36</v>
      </c>
      <c r="J6" s="2" t="s">
        <v>37</v>
      </c>
      <c r="K6" s="8">
        <f t="shared" si="0"/>
        <v>9000</v>
      </c>
      <c r="L6" s="10">
        <f t="shared" si="1"/>
        <v>900</v>
      </c>
      <c r="M6" s="13">
        <f t="shared" si="2"/>
        <v>8100</v>
      </c>
      <c r="N6" s="15" t="str">
        <f t="shared" si="3"/>
        <v>Low Value</v>
      </c>
      <c r="O6" s="17" t="str">
        <f t="shared" si="4"/>
        <v>Medium</v>
      </c>
      <c r="P6" s="2" t="str">
        <f t="shared" si="5"/>
        <v>052</v>
      </c>
      <c r="Q6" s="2" t="str">
        <f t="shared" si="6"/>
        <v>110</v>
      </c>
      <c r="R6" s="2" t="str">
        <f t="shared" si="7"/>
        <v>Karan</v>
      </c>
      <c r="S6" s="2" t="str">
        <f t="shared" si="8"/>
        <v>North</v>
      </c>
      <c r="T6" s="2" t="str">
        <f>IFERROR(VLOOKUP(D6,Product_Reference!$A$1:$F$26,2,0),"Not Found!!")</f>
        <v>External SSD 1TB</v>
      </c>
      <c r="U6" s="2" t="str">
        <f>IFERROR(VLOOKUP(D6,Product_Reference!$A$1:$F$26,3,0),"Not Found!!")</f>
        <v>Storage</v>
      </c>
      <c r="V6" s="2" t="str">
        <f>IFERROR(VLOOKUP(D6,Product_Reference!$A$1:$F$26,4,0),"Not Found!!")</f>
        <v>DataDrive</v>
      </c>
      <c r="W6" s="2" t="str">
        <f>IFERROR(VLOOKUP(D6,Product_Reference!$A$1:$F$26,5,0),"Not Found!!")</f>
        <v>PQR Ltd</v>
      </c>
      <c r="X6" s="2">
        <f>IFERROR(VLOOKUP(D6,Product_Reference!$A$1:$F$26,6,0),"Not Found!!")</f>
        <v>4.5</v>
      </c>
      <c r="AA6" t="s">
        <v>333</v>
      </c>
      <c r="AD6" s="2" t="s">
        <v>35</v>
      </c>
      <c r="AF6" s="2" t="s">
        <v>36</v>
      </c>
      <c r="AH6" s="20" t="s">
        <v>350</v>
      </c>
      <c r="AI6" s="20"/>
      <c r="AJ6" s="20"/>
      <c r="AK6" s="20"/>
      <c r="AL6" s="20"/>
      <c r="AM6" s="20"/>
      <c r="AN6" s="20"/>
      <c r="AO6" s="20"/>
      <c r="AP6" s="20"/>
    </row>
    <row r="7" spans="1:55" x14ac:dyDescent="0.3">
      <c r="A7" s="2" t="s">
        <v>38</v>
      </c>
      <c r="B7" s="3">
        <v>46095</v>
      </c>
      <c r="C7" s="2" t="s">
        <v>39</v>
      </c>
      <c r="D7" s="2" t="s">
        <v>18</v>
      </c>
      <c r="E7" s="2">
        <v>3</v>
      </c>
      <c r="F7" s="2">
        <v>12500</v>
      </c>
      <c r="G7" s="2">
        <v>0.12</v>
      </c>
      <c r="H7" s="2" t="s">
        <v>19</v>
      </c>
      <c r="I7" s="2" t="s">
        <v>40</v>
      </c>
      <c r="J7" s="2" t="s">
        <v>27</v>
      </c>
      <c r="K7" s="8">
        <f t="shared" si="0"/>
        <v>37500</v>
      </c>
      <c r="L7" s="10">
        <f t="shared" si="1"/>
        <v>4500</v>
      </c>
      <c r="M7" s="13">
        <f t="shared" si="2"/>
        <v>33000</v>
      </c>
      <c r="N7" s="15" t="str">
        <f t="shared" si="3"/>
        <v>Medium Value</v>
      </c>
      <c r="O7" s="17" t="str">
        <f t="shared" si="4"/>
        <v>Medium</v>
      </c>
      <c r="P7" s="2" t="str">
        <f t="shared" si="5"/>
        <v>039</v>
      </c>
      <c r="Q7" s="2" t="str">
        <f t="shared" si="6"/>
        <v>119</v>
      </c>
      <c r="R7" s="2" t="str">
        <f t="shared" si="7"/>
        <v>Sneha</v>
      </c>
      <c r="S7" s="2" t="str">
        <f t="shared" si="8"/>
        <v>East</v>
      </c>
      <c r="T7" s="2" t="str">
        <f>IFERROR(VLOOKUP(D7,Product_Reference!$A$1:$F$26,2,0),"Not Found!!")</f>
        <v>Office Chair</v>
      </c>
      <c r="U7" s="2" t="str">
        <f>IFERROR(VLOOKUP(D7,Product_Reference!$A$1:$F$26,3,0),"Not Found!!")</f>
        <v>Furniture</v>
      </c>
      <c r="V7" s="2" t="str">
        <f>IFERROR(VLOOKUP(D7,Product_Reference!$A$1:$F$26,4,0),"Not Found!!")</f>
        <v>ComfortPro</v>
      </c>
      <c r="W7" s="2" t="str">
        <f>IFERROR(VLOOKUP(D7,Product_Reference!$A$1:$F$26,5,0),"Not Found!!")</f>
        <v>ABC Ltd</v>
      </c>
      <c r="X7" s="2">
        <f>IFERROR(VLOOKUP(D7,Product_Reference!$A$1:$F$26,6,0),"Not Found!!")</f>
        <v>4.2</v>
      </c>
      <c r="AF7" s="22"/>
    </row>
    <row r="8" spans="1:55" x14ac:dyDescent="0.3">
      <c r="A8" s="2" t="s">
        <v>41</v>
      </c>
      <c r="B8" s="3">
        <v>46031</v>
      </c>
      <c r="C8" s="2" t="s">
        <v>42</v>
      </c>
      <c r="D8" s="2" t="s">
        <v>43</v>
      </c>
      <c r="E8" s="2">
        <v>1</v>
      </c>
      <c r="F8" s="2">
        <v>2500</v>
      </c>
      <c r="G8" s="2">
        <v>0.05</v>
      </c>
      <c r="H8" s="2" t="s">
        <v>19</v>
      </c>
      <c r="I8" s="2" t="s">
        <v>20</v>
      </c>
      <c r="J8" s="2" t="s">
        <v>27</v>
      </c>
      <c r="K8" s="8">
        <f t="shared" si="0"/>
        <v>2500</v>
      </c>
      <c r="L8" s="10">
        <f t="shared" si="1"/>
        <v>125</v>
      </c>
      <c r="M8" s="13">
        <f t="shared" si="2"/>
        <v>2375</v>
      </c>
      <c r="N8" s="15" t="str">
        <f t="shared" si="3"/>
        <v>Low Value</v>
      </c>
      <c r="O8" s="17" t="str">
        <f t="shared" si="4"/>
        <v>Low</v>
      </c>
      <c r="P8" s="2" t="str">
        <f t="shared" si="5"/>
        <v>026</v>
      </c>
      <c r="Q8" s="2" t="str">
        <f t="shared" si="6"/>
        <v>114</v>
      </c>
      <c r="R8" s="2" t="str">
        <f t="shared" si="7"/>
        <v>Sneha</v>
      </c>
      <c r="S8" s="2" t="str">
        <f t="shared" si="8"/>
        <v>South</v>
      </c>
      <c r="T8" s="2" t="str">
        <f>IFERROR(VLOOKUP(D8,Product_Reference!$A$1:$F$26,2,0),"Not Found!!")</f>
        <v>Power Bank 20000mAh</v>
      </c>
      <c r="U8" s="2" t="str">
        <f>IFERROR(VLOOKUP(D8,Product_Reference!$A$1:$F$26,3,0),"Not Found!!")</f>
        <v>Accessories</v>
      </c>
      <c r="V8" s="2" t="str">
        <f>IFERROR(VLOOKUP(D8,Product_Reference!$A$1:$F$26,4,0),"Not Found!!")</f>
        <v>PowerPlus</v>
      </c>
      <c r="W8" s="2" t="str">
        <f>IFERROR(VLOOKUP(D8,Product_Reference!$A$1:$F$26,5,0),"Not Found!!")</f>
        <v>PQR Ltd</v>
      </c>
      <c r="X8" s="2">
        <f>IFERROR(VLOOKUP(D8,Product_Reference!$A$1:$F$26,6,0),"Not Found!!")</f>
        <v>4.0999999999999996</v>
      </c>
      <c r="AA8" s="4" t="s">
        <v>330</v>
      </c>
      <c r="AB8" s="2">
        <f>SUM(E2:E151)</f>
        <v>408</v>
      </c>
      <c r="AF8" s="27" t="s">
        <v>15</v>
      </c>
      <c r="AH8" s="21" t="s">
        <v>352</v>
      </c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</row>
    <row r="9" spans="1:55" x14ac:dyDescent="0.3">
      <c r="A9" s="2" t="s">
        <v>44</v>
      </c>
      <c r="B9" s="3">
        <v>46030</v>
      </c>
      <c r="C9" s="2" t="s">
        <v>45</v>
      </c>
      <c r="D9" s="2" t="s">
        <v>46</v>
      </c>
      <c r="E9" s="2">
        <v>3</v>
      </c>
      <c r="F9" s="2">
        <v>42000</v>
      </c>
      <c r="G9" s="2">
        <v>0.1</v>
      </c>
      <c r="H9" s="2" t="s">
        <v>19</v>
      </c>
      <c r="I9" s="2" t="s">
        <v>14</v>
      </c>
      <c r="J9" s="2" t="s">
        <v>27</v>
      </c>
      <c r="K9" s="8">
        <f t="shared" si="0"/>
        <v>126000</v>
      </c>
      <c r="L9" s="10">
        <f t="shared" si="1"/>
        <v>12600</v>
      </c>
      <c r="M9" s="13">
        <f t="shared" si="2"/>
        <v>113400</v>
      </c>
      <c r="N9" s="15" t="str">
        <f t="shared" si="3"/>
        <v>High Value</v>
      </c>
      <c r="O9" s="17" t="str">
        <f t="shared" si="4"/>
        <v>Medium</v>
      </c>
      <c r="P9" s="2" t="str">
        <f t="shared" si="5"/>
        <v>047</v>
      </c>
      <c r="Q9" s="2" t="str">
        <f t="shared" si="6"/>
        <v>115</v>
      </c>
      <c r="R9" s="2" t="str">
        <f t="shared" si="7"/>
        <v>Sneha</v>
      </c>
      <c r="S9" s="2" t="str">
        <f t="shared" si="8"/>
        <v>East</v>
      </c>
      <c r="T9" s="2" t="str">
        <f>IFERROR(VLOOKUP(D9,Product_Reference!$A$1:$F$26,2,0),"Not Found!!")</f>
        <v>Smart TV 43</v>
      </c>
      <c r="U9" s="2" t="str">
        <f>IFERROR(VLOOKUP(D9,Product_Reference!$A$1:$F$26,3,0),"Not Found!!")</f>
        <v>Electronics</v>
      </c>
      <c r="V9" s="2" t="str">
        <f>IFERROR(VLOOKUP(D9,Product_Reference!$A$1:$F$26,4,0),"Not Found!!")</f>
        <v>ViewMax</v>
      </c>
      <c r="W9" s="2" t="str">
        <f>IFERROR(VLOOKUP(D9,Product_Reference!$A$1:$F$26,5,0),"Not Found!!")</f>
        <v>ABC Ltd</v>
      </c>
      <c r="X9" s="2">
        <f>IFERROR(VLOOKUP(D9,Product_Reference!$A$1:$F$26,6,0),"Not Found!!")</f>
        <v>4.5999999999999996</v>
      </c>
      <c r="AF9" s="27" t="s">
        <v>21</v>
      </c>
    </row>
    <row r="10" spans="1:55" x14ac:dyDescent="0.3">
      <c r="A10" s="2" t="s">
        <v>47</v>
      </c>
      <c r="B10" s="3">
        <v>46024</v>
      </c>
      <c r="C10" s="2" t="s">
        <v>48</v>
      </c>
      <c r="D10" s="2" t="s">
        <v>49</v>
      </c>
      <c r="E10" s="2">
        <v>4</v>
      </c>
      <c r="F10" s="2">
        <v>650</v>
      </c>
      <c r="G10" s="2"/>
      <c r="H10" s="2" t="s">
        <v>19</v>
      </c>
      <c r="I10" s="2" t="s">
        <v>20</v>
      </c>
      <c r="J10" s="2" t="s">
        <v>50</v>
      </c>
      <c r="K10" s="8">
        <f t="shared" si="0"/>
        <v>2600</v>
      </c>
      <c r="L10" s="10">
        <f t="shared" si="1"/>
        <v>2600</v>
      </c>
      <c r="M10" s="13">
        <f t="shared" si="2"/>
        <v>0</v>
      </c>
      <c r="N10" s="15" t="str">
        <f t="shared" si="3"/>
        <v>Low Value</v>
      </c>
      <c r="O10" s="17" t="str">
        <f t="shared" si="4"/>
        <v>Medium</v>
      </c>
      <c r="P10" s="2" t="str">
        <f t="shared" si="5"/>
        <v>006</v>
      </c>
      <c r="Q10" s="2" t="str">
        <f t="shared" si="6"/>
        <v>118</v>
      </c>
      <c r="R10" s="2" t="str">
        <f t="shared" si="7"/>
        <v>Neha</v>
      </c>
      <c r="S10" s="2" t="str">
        <f t="shared" si="8"/>
        <v>South</v>
      </c>
      <c r="T10" s="2" t="str">
        <f>IFERROR(VLOOKUP(D10,Product_Reference!$A$1:$F$26,2,0),"Not Found!!")</f>
        <v>Mechanical Pencil Set</v>
      </c>
      <c r="U10" s="2" t="str">
        <f>IFERROR(VLOOKUP(D10,Product_Reference!$A$1:$F$26,3,0),"Not Found!!")</f>
        <v>Stationery</v>
      </c>
      <c r="V10" s="2" t="str">
        <f>IFERROR(VLOOKUP(D10,Product_Reference!$A$1:$F$26,4,0),"Not Found!!")</f>
        <v>WriteWell</v>
      </c>
      <c r="W10" s="2" t="str">
        <f>IFERROR(VLOOKUP(D10,Product_Reference!$A$1:$F$26,5,0),"Not Found!!")</f>
        <v>LMN Ltd</v>
      </c>
      <c r="X10" s="2">
        <f>IFERROR(VLOOKUP(D10,Product_Reference!$A$1:$F$26,6,0),"Not Found!!")</f>
        <v>4.3</v>
      </c>
      <c r="AA10" t="s">
        <v>334</v>
      </c>
      <c r="AF10" s="27" t="s">
        <v>27</v>
      </c>
      <c r="AH10" s="25" t="s">
        <v>354</v>
      </c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</row>
    <row r="11" spans="1:55" x14ac:dyDescent="0.3">
      <c r="A11" s="2" t="s">
        <v>51</v>
      </c>
      <c r="B11" s="3">
        <v>46056</v>
      </c>
      <c r="C11" s="2" t="s">
        <v>52</v>
      </c>
      <c r="D11" s="2" t="s">
        <v>49</v>
      </c>
      <c r="E11" s="2">
        <v>6</v>
      </c>
      <c r="F11" s="2">
        <v>650</v>
      </c>
      <c r="G11" s="2">
        <v>0.1</v>
      </c>
      <c r="H11" s="2" t="s">
        <v>25</v>
      </c>
      <c r="I11" s="2" t="s">
        <v>26</v>
      </c>
      <c r="J11" s="2" t="s">
        <v>50</v>
      </c>
      <c r="K11" s="8">
        <f t="shared" si="0"/>
        <v>3900</v>
      </c>
      <c r="L11" s="10">
        <f t="shared" si="1"/>
        <v>390</v>
      </c>
      <c r="M11" s="13">
        <f t="shared" si="2"/>
        <v>3510</v>
      </c>
      <c r="N11" s="15" t="str">
        <f t="shared" si="3"/>
        <v>Low Value</v>
      </c>
      <c r="O11" s="17" t="str">
        <f t="shared" si="4"/>
        <v>Medium</v>
      </c>
      <c r="P11" s="2" t="str">
        <f t="shared" si="5"/>
        <v>010</v>
      </c>
      <c r="Q11" s="2" t="str">
        <f t="shared" si="6"/>
        <v>118</v>
      </c>
      <c r="R11" s="2" t="str">
        <f t="shared" si="7"/>
        <v>Neha</v>
      </c>
      <c r="S11" s="2" t="str">
        <f t="shared" si="8"/>
        <v>West</v>
      </c>
      <c r="T11" s="2" t="str">
        <f>IFERROR(VLOOKUP(D11,Product_Reference!$A$1:$F$26,2,0),"Not Found!!")</f>
        <v>Mechanical Pencil Set</v>
      </c>
      <c r="U11" s="2" t="str">
        <f>IFERROR(VLOOKUP(D11,Product_Reference!$A$1:$F$26,3,0),"Not Found!!")</f>
        <v>Stationery</v>
      </c>
      <c r="V11" s="2" t="str">
        <f>IFERROR(VLOOKUP(D11,Product_Reference!$A$1:$F$26,4,0),"Not Found!!")</f>
        <v>WriteWell</v>
      </c>
      <c r="W11" s="2" t="str">
        <f>IFERROR(VLOOKUP(D11,Product_Reference!$A$1:$F$26,5,0),"Not Found!!")</f>
        <v>LMN Ltd</v>
      </c>
      <c r="X11" s="2">
        <f>IFERROR(VLOOKUP(D11,Product_Reference!$A$1:$F$26,6,0),"Not Found!!")</f>
        <v>4.3</v>
      </c>
      <c r="AF11" s="27" t="s">
        <v>31</v>
      </c>
    </row>
    <row r="12" spans="1:55" x14ac:dyDescent="0.3">
      <c r="A12" s="2" t="s">
        <v>53</v>
      </c>
      <c r="B12" s="3">
        <v>46062</v>
      </c>
      <c r="C12" s="2" t="s">
        <v>54</v>
      </c>
      <c r="D12" s="2" t="s">
        <v>55</v>
      </c>
      <c r="E12" s="2">
        <v>5</v>
      </c>
      <c r="F12" s="2">
        <v>2800</v>
      </c>
      <c r="G12" s="2">
        <v>0.15</v>
      </c>
      <c r="H12" s="2" t="s">
        <v>19</v>
      </c>
      <c r="I12" s="2" t="s">
        <v>26</v>
      </c>
      <c r="J12" s="2" t="s">
        <v>37</v>
      </c>
      <c r="K12" s="8">
        <f t="shared" si="0"/>
        <v>14000</v>
      </c>
      <c r="L12" s="10">
        <f t="shared" si="1"/>
        <v>2100</v>
      </c>
      <c r="M12" s="13">
        <f t="shared" si="2"/>
        <v>11900</v>
      </c>
      <c r="N12" s="15" t="str">
        <f t="shared" si="3"/>
        <v>Low Value</v>
      </c>
      <c r="O12" s="17" t="str">
        <f t="shared" si="4"/>
        <v>High</v>
      </c>
      <c r="P12" s="2" t="str">
        <f t="shared" si="5"/>
        <v>021</v>
      </c>
      <c r="Q12" s="2" t="str">
        <f t="shared" si="6"/>
        <v>123</v>
      </c>
      <c r="R12" s="2" t="str">
        <f t="shared" si="7"/>
        <v>Karan</v>
      </c>
      <c r="S12" s="2" t="str">
        <f t="shared" si="8"/>
        <v>West</v>
      </c>
      <c r="T12" s="2" t="str">
        <f>IFERROR(VLOOKUP(D12,Product_Reference!$A$1:$F$26,2,0),"Not Found!!")</f>
        <v>Wi-Fi Range Extender</v>
      </c>
      <c r="U12" s="2" t="str">
        <f>IFERROR(VLOOKUP(D12,Product_Reference!$A$1:$F$26,3,0),"Not Found!!")</f>
        <v>Networking</v>
      </c>
      <c r="V12" s="2" t="str">
        <f>IFERROR(VLOOKUP(D12,Product_Reference!$A$1:$F$26,4,0),"Not Found!!")</f>
        <v>NetLink</v>
      </c>
      <c r="W12" s="2" t="str">
        <f>IFERROR(VLOOKUP(D12,Product_Reference!$A$1:$F$26,5,0),"Not Found!!")</f>
        <v>XYZ Ltd</v>
      </c>
      <c r="X12" s="2">
        <f>IFERROR(VLOOKUP(D12,Product_Reference!$A$1:$F$26,6,0),"Not Found!!")</f>
        <v>4</v>
      </c>
      <c r="AA12" s="1" t="s">
        <v>351</v>
      </c>
      <c r="AB12" s="5">
        <f>AVERAGE(E2:E53)</f>
        <v>2.6730769230769229</v>
      </c>
      <c r="AF12" s="27" t="s">
        <v>37</v>
      </c>
      <c r="AH12" s="11" t="s">
        <v>357</v>
      </c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1:55" x14ac:dyDescent="0.3">
      <c r="A13" s="2" t="s">
        <v>56</v>
      </c>
      <c r="B13" s="3">
        <v>46082</v>
      </c>
      <c r="C13" s="2" t="s">
        <v>57</v>
      </c>
      <c r="D13" s="2" t="s">
        <v>58</v>
      </c>
      <c r="E13" s="2">
        <v>6</v>
      </c>
      <c r="F13" s="2">
        <v>2500</v>
      </c>
      <c r="G13" s="2">
        <v>0</v>
      </c>
      <c r="H13" s="2" t="s">
        <v>19</v>
      </c>
      <c r="I13" s="2" t="s">
        <v>14</v>
      </c>
      <c r="J13" s="2" t="s">
        <v>37</v>
      </c>
      <c r="K13" s="8">
        <f t="shared" si="0"/>
        <v>15000</v>
      </c>
      <c r="L13" s="10">
        <f t="shared" si="1"/>
        <v>0</v>
      </c>
      <c r="M13" s="13">
        <f t="shared" si="2"/>
        <v>15000</v>
      </c>
      <c r="N13" s="15" t="str">
        <f t="shared" si="3"/>
        <v>Low Value</v>
      </c>
      <c r="O13" s="17" t="str">
        <f t="shared" si="4"/>
        <v>Medium</v>
      </c>
      <c r="P13" s="2" t="str">
        <f t="shared" si="5"/>
        <v>060</v>
      </c>
      <c r="Q13" s="2" t="str">
        <f t="shared" si="6"/>
        <v>124</v>
      </c>
      <c r="R13" s="2" t="str">
        <f t="shared" si="7"/>
        <v>Karan</v>
      </c>
      <c r="S13" s="2" t="str">
        <f t="shared" si="8"/>
        <v>East</v>
      </c>
      <c r="T13" s="2" t="str">
        <f>IFERROR(VLOOKUP(D13,Product_Reference!$A$1:$F$26,2,0),"Not Found!!")</f>
        <v>Tablet Keyboard</v>
      </c>
      <c r="U13" s="2" t="str">
        <f>IFERROR(VLOOKUP(D13,Product_Reference!$A$1:$F$26,3,0),"Not Found!!")</f>
        <v>Accessories</v>
      </c>
      <c r="V13" s="2" t="str">
        <f>IFERROR(VLOOKUP(D13,Product_Reference!$A$1:$F$26,4,0),"Not Found!!")</f>
        <v>KeyMaster</v>
      </c>
      <c r="W13" s="2" t="str">
        <f>IFERROR(VLOOKUP(D13,Product_Reference!$A$1:$F$26,5,0),"Not Found!!")</f>
        <v>PQR Ltd</v>
      </c>
      <c r="X13" s="2">
        <f>IFERROR(VLOOKUP(D13,Product_Reference!$A$1:$F$26,6,0),"Not Found!!")</f>
        <v>3.8</v>
      </c>
      <c r="AF13" s="27" t="s">
        <v>50</v>
      </c>
    </row>
    <row r="14" spans="1:55" x14ac:dyDescent="0.3">
      <c r="A14" s="2" t="s">
        <v>59</v>
      </c>
      <c r="B14" s="3">
        <v>46031</v>
      </c>
      <c r="C14" s="2" t="s">
        <v>17</v>
      </c>
      <c r="D14" s="2" t="s">
        <v>60</v>
      </c>
      <c r="E14" s="2">
        <v>5</v>
      </c>
      <c r="F14" s="2">
        <v>45000</v>
      </c>
      <c r="G14" s="2">
        <v>0.18</v>
      </c>
      <c r="H14" s="2" t="s">
        <v>19</v>
      </c>
      <c r="I14" s="2" t="s">
        <v>61</v>
      </c>
      <c r="J14" s="2" t="s">
        <v>21</v>
      </c>
      <c r="K14" s="8">
        <f t="shared" si="0"/>
        <v>225000</v>
      </c>
      <c r="L14" s="10">
        <f t="shared" si="1"/>
        <v>40500</v>
      </c>
      <c r="M14" s="13">
        <f t="shared" si="2"/>
        <v>184500</v>
      </c>
      <c r="N14" s="15" t="str">
        <f t="shared" si="3"/>
        <v>High Value</v>
      </c>
      <c r="O14" s="17" t="str">
        <f t="shared" si="4"/>
        <v>High</v>
      </c>
      <c r="P14" s="2" t="str">
        <f t="shared" si="5"/>
        <v>024</v>
      </c>
      <c r="Q14" s="2" t="str">
        <f t="shared" si="6"/>
        <v>101</v>
      </c>
      <c r="R14" s="2" t="str">
        <f t="shared" si="7"/>
        <v>Amit</v>
      </c>
      <c r="S14" s="2" t="str">
        <f t="shared" si="8"/>
        <v>East</v>
      </c>
      <c r="T14" s="2" t="str">
        <f>IFERROR(VLOOKUP(D14,Product_Reference!$A$1:$F$26,2,0),"Not Found!!")</f>
        <v>Laptop Pro 14</v>
      </c>
      <c r="U14" s="2" t="str">
        <f>IFERROR(VLOOKUP(D14,Product_Reference!$A$1:$F$26,3,0),"Not Found!!")</f>
        <v>Electronics</v>
      </c>
      <c r="V14" s="2" t="str">
        <f>IFERROR(VLOOKUP(D14,Product_Reference!$A$1:$F$26,4,0),"Not Found!!")</f>
        <v>TechPro</v>
      </c>
      <c r="W14" s="2" t="str">
        <f>IFERROR(VLOOKUP(D14,Product_Reference!$A$1:$F$26,5,0),"Not Found!!")</f>
        <v>ABC Ltd</v>
      </c>
      <c r="X14" s="2">
        <f>IFERROR(VLOOKUP(D14,Product_Reference!$A$1:$F$26,6,0),"Not Found!!")</f>
        <v>4.5</v>
      </c>
      <c r="AA14" t="s">
        <v>335</v>
      </c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55" x14ac:dyDescent="0.3">
      <c r="A15" s="2" t="s">
        <v>62</v>
      </c>
      <c r="B15" s="3">
        <v>46057</v>
      </c>
      <c r="C15" s="2" t="s">
        <v>63</v>
      </c>
      <c r="D15" s="2" t="s">
        <v>18</v>
      </c>
      <c r="E15" s="2">
        <v>1</v>
      </c>
      <c r="F15" s="2">
        <v>12500</v>
      </c>
      <c r="G15" s="2">
        <v>0.2</v>
      </c>
      <c r="H15" s="2" t="s">
        <v>13</v>
      </c>
      <c r="I15" s="2" t="s">
        <v>14</v>
      </c>
      <c r="J15" s="2" t="s">
        <v>15</v>
      </c>
      <c r="K15" s="8">
        <f t="shared" si="0"/>
        <v>12500</v>
      </c>
      <c r="L15" s="10">
        <f t="shared" si="1"/>
        <v>2500</v>
      </c>
      <c r="M15" s="13">
        <f t="shared" si="2"/>
        <v>10000</v>
      </c>
      <c r="N15" s="15" t="str">
        <f t="shared" si="3"/>
        <v>Low Value</v>
      </c>
      <c r="O15" s="17" t="str">
        <f t="shared" si="4"/>
        <v>Medium</v>
      </c>
      <c r="P15" s="2" t="str">
        <f t="shared" si="5"/>
        <v>035</v>
      </c>
      <c r="Q15" s="2" t="str">
        <f t="shared" si="6"/>
        <v>119</v>
      </c>
      <c r="R15" s="2" t="str">
        <f t="shared" si="7"/>
        <v>Priya</v>
      </c>
      <c r="S15" s="2" t="str">
        <f t="shared" si="8"/>
        <v>East</v>
      </c>
      <c r="T15" s="2" t="str">
        <f>IFERROR(VLOOKUP(D15,Product_Reference!$A$1:$F$26,2,0),"Not Found!!")</f>
        <v>Office Chair</v>
      </c>
      <c r="U15" s="2" t="str">
        <f>IFERROR(VLOOKUP(D15,Product_Reference!$A$1:$F$26,3,0),"Not Found!!")</f>
        <v>Furniture</v>
      </c>
      <c r="V15" s="2" t="str">
        <f>IFERROR(VLOOKUP(D15,Product_Reference!$A$1:$F$26,4,0),"Not Found!!")</f>
        <v>ComfortPro</v>
      </c>
      <c r="W15" s="2" t="str">
        <f>IFERROR(VLOOKUP(D15,Product_Reference!$A$1:$F$26,5,0),"Not Found!!")</f>
        <v>ABC Ltd</v>
      </c>
      <c r="X15" s="2">
        <f>IFERROR(VLOOKUP(D15,Product_Reference!$A$1:$F$26,6,0),"Not Found!!")</f>
        <v>4.2</v>
      </c>
      <c r="AH15" s="11" t="s">
        <v>358</v>
      </c>
    </row>
    <row r="16" spans="1:55" x14ac:dyDescent="0.3">
      <c r="A16" s="2" t="s">
        <v>64</v>
      </c>
      <c r="B16" s="3">
        <v>46050</v>
      </c>
      <c r="C16" s="2" t="s">
        <v>65</v>
      </c>
      <c r="D16" s="2" t="s">
        <v>12</v>
      </c>
      <c r="E16" s="2">
        <v>6</v>
      </c>
      <c r="F16" s="2">
        <v>2200</v>
      </c>
      <c r="G16" s="2">
        <v>0</v>
      </c>
      <c r="H16" s="2" t="s">
        <v>25</v>
      </c>
      <c r="I16" s="2" t="s">
        <v>20</v>
      </c>
      <c r="J16" s="2" t="s">
        <v>15</v>
      </c>
      <c r="K16" s="8">
        <f t="shared" si="0"/>
        <v>13200</v>
      </c>
      <c r="L16" s="10">
        <f t="shared" si="1"/>
        <v>0</v>
      </c>
      <c r="M16" s="13">
        <f t="shared" si="2"/>
        <v>13200</v>
      </c>
      <c r="N16" s="15" t="str">
        <f t="shared" si="3"/>
        <v>Low Value</v>
      </c>
      <c r="O16" s="17" t="str">
        <f t="shared" si="4"/>
        <v>Medium</v>
      </c>
      <c r="P16" s="2" t="str">
        <f t="shared" si="5"/>
        <v>007</v>
      </c>
      <c r="Q16" s="2" t="str">
        <f t="shared" si="6"/>
        <v>107</v>
      </c>
      <c r="R16" s="2" t="str">
        <f t="shared" si="7"/>
        <v>Priya</v>
      </c>
      <c r="S16" s="2" t="str">
        <f t="shared" si="8"/>
        <v>South</v>
      </c>
      <c r="T16" s="2" t="str">
        <f>IFERROR(VLOOKUP(D16,Product_Reference!$A$1:$F$26,2,0),"Not Found!!")</f>
        <v>USB-C Hub</v>
      </c>
      <c r="U16" s="2" t="str">
        <f>IFERROR(VLOOKUP(D16,Product_Reference!$A$1:$F$26,3,0),"Not Found!!")</f>
        <v>Accessories</v>
      </c>
      <c r="V16" s="2" t="str">
        <f>IFERROR(VLOOKUP(D16,Product_Reference!$A$1:$F$26,4,0),"Not Found!!")</f>
        <v>ConnectPro</v>
      </c>
      <c r="W16" s="2" t="str">
        <f>IFERROR(VLOOKUP(D16,Product_Reference!$A$1:$F$26,5,0),"Not Found!!")</f>
        <v>PQR Ltd</v>
      </c>
      <c r="X16" s="2">
        <f>IFERROR(VLOOKUP(D16,Product_Reference!$A$1:$F$26,6,0),"Not Found!!")</f>
        <v>4.3</v>
      </c>
      <c r="AA16" s="1" t="s">
        <v>7</v>
      </c>
      <c r="AB16" s="4" t="s">
        <v>331</v>
      </c>
    </row>
    <row r="17" spans="1:51" x14ac:dyDescent="0.3">
      <c r="A17" s="2" t="s">
        <v>66</v>
      </c>
      <c r="B17" s="3">
        <v>46084</v>
      </c>
      <c r="C17" s="2" t="s">
        <v>17</v>
      </c>
      <c r="D17" s="2" t="s">
        <v>60</v>
      </c>
      <c r="E17" s="2">
        <v>3</v>
      </c>
      <c r="F17" s="2">
        <v>45000</v>
      </c>
      <c r="G17" s="2">
        <v>0.18</v>
      </c>
      <c r="H17" s="2" t="s">
        <v>35</v>
      </c>
      <c r="I17" s="2" t="s">
        <v>20</v>
      </c>
      <c r="J17" s="2" t="s">
        <v>50</v>
      </c>
      <c r="K17" s="8">
        <f t="shared" si="0"/>
        <v>135000</v>
      </c>
      <c r="L17" s="10">
        <f t="shared" si="1"/>
        <v>24300</v>
      </c>
      <c r="M17" s="13">
        <f t="shared" si="2"/>
        <v>110700</v>
      </c>
      <c r="N17" s="15" t="str">
        <f t="shared" si="3"/>
        <v>High Value</v>
      </c>
      <c r="O17" s="17" t="str">
        <f t="shared" si="4"/>
        <v>Medium</v>
      </c>
      <c r="P17" s="2" t="str">
        <f t="shared" si="5"/>
        <v>024</v>
      </c>
      <c r="Q17" s="2" t="str">
        <f t="shared" si="6"/>
        <v>101</v>
      </c>
      <c r="R17" s="2" t="str">
        <f t="shared" si="7"/>
        <v>Neha</v>
      </c>
      <c r="S17" s="2" t="str">
        <f t="shared" si="8"/>
        <v>South</v>
      </c>
      <c r="T17" s="2" t="str">
        <f>IFERROR(VLOOKUP(D17,Product_Reference!$A$1:$F$26,2,0),"Not Found!!")</f>
        <v>Laptop Pro 14</v>
      </c>
      <c r="U17" s="2" t="str">
        <f>IFERROR(VLOOKUP(D17,Product_Reference!$A$1:$F$26,3,0),"Not Found!!")</f>
        <v>Electronics</v>
      </c>
      <c r="V17" s="2" t="str">
        <f>IFERROR(VLOOKUP(D17,Product_Reference!$A$1:$F$26,4,0),"Not Found!!")</f>
        <v>TechPro</v>
      </c>
      <c r="W17" s="2" t="str">
        <f>IFERROR(VLOOKUP(D17,Product_Reference!$A$1:$F$26,5,0),"Not Found!!")</f>
        <v>ABC Ltd</v>
      </c>
      <c r="X17" s="2">
        <f>IFERROR(VLOOKUP(D17,Product_Reference!$A$1:$F$26,6,0),"Not Found!!")</f>
        <v>4.5</v>
      </c>
      <c r="AA17" s="2" t="s">
        <v>13</v>
      </c>
      <c r="AB17" s="2">
        <f>COUNTIF(H2:H92,AA17)</f>
        <v>6</v>
      </c>
      <c r="AH17" t="s">
        <v>360</v>
      </c>
    </row>
    <row r="18" spans="1:51" x14ac:dyDescent="0.3">
      <c r="A18" s="2" t="s">
        <v>67</v>
      </c>
      <c r="B18" s="3">
        <v>46069</v>
      </c>
      <c r="C18" s="2" t="s">
        <v>68</v>
      </c>
      <c r="D18" s="2" t="s">
        <v>69</v>
      </c>
      <c r="E18" s="2">
        <v>1</v>
      </c>
      <c r="F18" s="2">
        <v>65000</v>
      </c>
      <c r="G18" s="2">
        <v>0.08</v>
      </c>
      <c r="H18" s="2" t="s">
        <v>25</v>
      </c>
      <c r="I18" s="2" t="s">
        <v>14</v>
      </c>
      <c r="J18" s="2" t="s">
        <v>15</v>
      </c>
      <c r="K18" s="8">
        <f t="shared" si="0"/>
        <v>65000</v>
      </c>
      <c r="L18" s="10">
        <f t="shared" si="1"/>
        <v>5200</v>
      </c>
      <c r="M18" s="13">
        <f t="shared" si="2"/>
        <v>59800</v>
      </c>
      <c r="N18" s="15" t="str">
        <f t="shared" si="3"/>
        <v>High Value</v>
      </c>
      <c r="O18" s="17" t="str">
        <f t="shared" si="4"/>
        <v>Low</v>
      </c>
      <c r="P18" s="2" t="str">
        <f t="shared" si="5"/>
        <v>014</v>
      </c>
      <c r="Q18" s="2" t="str">
        <f t="shared" si="6"/>
        <v>103</v>
      </c>
      <c r="R18" s="2" t="str">
        <f t="shared" si="7"/>
        <v>Priya</v>
      </c>
      <c r="S18" s="2" t="str">
        <f t="shared" si="8"/>
        <v>East</v>
      </c>
      <c r="T18" s="2" t="str">
        <f>IFERROR(VLOOKUP(D18,Product_Reference!$A$1:$F$26,2,0),"Not Found!!")</f>
        <v>Smartphone X</v>
      </c>
      <c r="U18" s="2" t="str">
        <f>IFERROR(VLOOKUP(D18,Product_Reference!$A$1:$F$26,3,0),"Not Found!!")</f>
        <v>Electronics</v>
      </c>
      <c r="V18" s="2" t="str">
        <f>IFERROR(VLOOKUP(D18,Product_Reference!$A$1:$F$26,4,0),"Not Found!!")</f>
        <v>MobileMax</v>
      </c>
      <c r="W18" s="2" t="str">
        <f>IFERROR(VLOOKUP(D18,Product_Reference!$A$1:$F$26,5,0),"Not Found!!")</f>
        <v>ABC Ltd</v>
      </c>
      <c r="X18" s="2">
        <f>IFERROR(VLOOKUP(D18,Product_Reference!$A$1:$F$26,6,0),"Not Found!!")</f>
        <v>4.5999999999999996</v>
      </c>
    </row>
    <row r="19" spans="1:51" x14ac:dyDescent="0.3">
      <c r="A19" s="2" t="s">
        <v>70</v>
      </c>
      <c r="B19" s="3">
        <v>46031</v>
      </c>
      <c r="C19" s="2" t="s">
        <v>71</v>
      </c>
      <c r="D19" s="2" t="s">
        <v>55</v>
      </c>
      <c r="E19" s="2">
        <v>3</v>
      </c>
      <c r="F19" s="2">
        <v>2800</v>
      </c>
      <c r="G19" s="2">
        <v>0.08</v>
      </c>
      <c r="H19" s="2" t="s">
        <v>35</v>
      </c>
      <c r="I19" s="2" t="s">
        <v>26</v>
      </c>
      <c r="J19" s="2" t="s">
        <v>27</v>
      </c>
      <c r="K19" s="8">
        <f t="shared" si="0"/>
        <v>8400</v>
      </c>
      <c r="L19" s="10">
        <f t="shared" si="1"/>
        <v>672</v>
      </c>
      <c r="M19" s="13">
        <f t="shared" si="2"/>
        <v>7728</v>
      </c>
      <c r="N19" s="15" t="str">
        <f t="shared" si="3"/>
        <v>Low Value</v>
      </c>
      <c r="O19" s="17" t="str">
        <f t="shared" si="4"/>
        <v>Medium</v>
      </c>
      <c r="P19" s="2" t="str">
        <f t="shared" si="5"/>
        <v>015</v>
      </c>
      <c r="Q19" s="2" t="str">
        <f t="shared" si="6"/>
        <v>123</v>
      </c>
      <c r="R19" s="2" t="str">
        <f t="shared" si="7"/>
        <v>Sneha</v>
      </c>
      <c r="S19" s="2" t="str">
        <f t="shared" si="8"/>
        <v>West</v>
      </c>
      <c r="T19" s="2" t="str">
        <f>IFERROR(VLOOKUP(D19,Product_Reference!$A$1:$F$26,2,0),"Not Found!!")</f>
        <v>Wi-Fi Range Extender</v>
      </c>
      <c r="U19" s="2" t="str">
        <f>IFERROR(VLOOKUP(D19,Product_Reference!$A$1:$F$26,3,0),"Not Found!!")</f>
        <v>Networking</v>
      </c>
      <c r="V19" s="2" t="str">
        <f>IFERROR(VLOOKUP(D19,Product_Reference!$A$1:$F$26,4,0),"Not Found!!")</f>
        <v>NetLink</v>
      </c>
      <c r="W19" s="2" t="str">
        <f>IFERROR(VLOOKUP(D19,Product_Reference!$A$1:$F$26,5,0),"Not Found!!")</f>
        <v>XYZ Ltd</v>
      </c>
      <c r="X19" s="2">
        <f>IFERROR(VLOOKUP(D19,Product_Reference!$A$1:$F$26,6,0),"Not Found!!")</f>
        <v>4</v>
      </c>
      <c r="AA19" t="s">
        <v>336</v>
      </c>
      <c r="AH19" t="s">
        <v>364</v>
      </c>
    </row>
    <row r="20" spans="1:51" x14ac:dyDescent="0.3">
      <c r="A20" s="2" t="s">
        <v>72</v>
      </c>
      <c r="B20" s="3">
        <v>46074</v>
      </c>
      <c r="C20" s="2" t="s">
        <v>73</v>
      </c>
      <c r="D20" s="2" t="s">
        <v>74</v>
      </c>
      <c r="E20" s="2">
        <v>1</v>
      </c>
      <c r="F20" s="2">
        <v>5500</v>
      </c>
      <c r="G20" s="2">
        <v>0.18</v>
      </c>
      <c r="H20" s="2" t="s">
        <v>35</v>
      </c>
      <c r="I20" s="2" t="s">
        <v>14</v>
      </c>
      <c r="J20" s="2" t="s">
        <v>37</v>
      </c>
      <c r="K20" s="8">
        <f t="shared" si="0"/>
        <v>5500</v>
      </c>
      <c r="L20" s="10">
        <f t="shared" si="1"/>
        <v>990</v>
      </c>
      <c r="M20" s="13">
        <f t="shared" si="2"/>
        <v>4510</v>
      </c>
      <c r="N20" s="15" t="str">
        <f t="shared" si="3"/>
        <v>Low Value</v>
      </c>
      <c r="O20" s="17" t="str">
        <f t="shared" si="4"/>
        <v>Medium</v>
      </c>
      <c r="P20" s="2" t="str">
        <f t="shared" si="5"/>
        <v>032</v>
      </c>
      <c r="Q20" s="2" t="str">
        <f t="shared" si="6"/>
        <v>113</v>
      </c>
      <c r="R20" s="2" t="str">
        <f t="shared" si="7"/>
        <v>Karan</v>
      </c>
      <c r="S20" s="2" t="str">
        <f t="shared" si="8"/>
        <v>East</v>
      </c>
      <c r="T20" s="2" t="str">
        <f>IFERROR(VLOOKUP(D20,Product_Reference!$A$1:$F$26,2,0),"Not Found!!")</f>
        <v>Wireless Earbuds</v>
      </c>
      <c r="U20" s="2" t="str">
        <f>IFERROR(VLOOKUP(D20,Product_Reference!$A$1:$F$26,3,0),"Not Found!!")</f>
        <v>Audio</v>
      </c>
      <c r="V20" s="2" t="str">
        <f>IFERROR(VLOOKUP(D20,Product_Reference!$A$1:$F$26,4,0),"Not Found!!")</f>
        <v>SoundMax</v>
      </c>
      <c r="W20" s="2" t="str">
        <f>IFERROR(VLOOKUP(D20,Product_Reference!$A$1:$F$26,5,0),"Not Found!!")</f>
        <v>LMN Ltd</v>
      </c>
      <c r="X20" s="2">
        <f>IFERROR(VLOOKUP(D20,Product_Reference!$A$1:$F$26,6,0),"Not Found!!")</f>
        <v>4.4000000000000004</v>
      </c>
      <c r="AY20" t="s">
        <v>363</v>
      </c>
    </row>
    <row r="21" spans="1:51" x14ac:dyDescent="0.3">
      <c r="A21" s="2" t="s">
        <v>75</v>
      </c>
      <c r="B21" s="3">
        <v>46054</v>
      </c>
      <c r="C21" s="2" t="s">
        <v>65</v>
      </c>
      <c r="D21" s="2" t="s">
        <v>46</v>
      </c>
      <c r="E21" s="2">
        <v>2</v>
      </c>
      <c r="F21" s="2">
        <v>42000</v>
      </c>
      <c r="G21" s="2">
        <v>0.12</v>
      </c>
      <c r="H21" s="2" t="s">
        <v>19</v>
      </c>
      <c r="I21" s="2" t="s">
        <v>26</v>
      </c>
      <c r="J21" s="2" t="s">
        <v>27</v>
      </c>
      <c r="K21" s="8">
        <f t="shared" si="0"/>
        <v>84000</v>
      </c>
      <c r="L21" s="10">
        <f t="shared" si="1"/>
        <v>10080</v>
      </c>
      <c r="M21" s="13">
        <f t="shared" si="2"/>
        <v>73920</v>
      </c>
      <c r="N21" s="15" t="str">
        <f t="shared" si="3"/>
        <v>High Value</v>
      </c>
      <c r="O21" s="17" t="str">
        <f t="shared" si="4"/>
        <v>Medium</v>
      </c>
      <c r="P21" s="2" t="str">
        <f t="shared" si="5"/>
        <v>007</v>
      </c>
      <c r="Q21" s="2" t="str">
        <f t="shared" si="6"/>
        <v>115</v>
      </c>
      <c r="R21" s="2" t="str">
        <f t="shared" si="7"/>
        <v>Sneha</v>
      </c>
      <c r="S21" s="2" t="str">
        <f t="shared" si="8"/>
        <v>West</v>
      </c>
      <c r="T21" s="2" t="str">
        <f>IFERROR(VLOOKUP(D21,Product_Reference!$A$1:$F$26,2,0),"Not Found!!")</f>
        <v>Smart TV 43</v>
      </c>
      <c r="U21" s="2" t="str">
        <f>IFERROR(VLOOKUP(D21,Product_Reference!$A$1:$F$26,3,0),"Not Found!!")</f>
        <v>Electronics</v>
      </c>
      <c r="V21" s="2" t="str">
        <f>IFERROR(VLOOKUP(D21,Product_Reference!$A$1:$F$26,4,0),"Not Found!!")</f>
        <v>ViewMax</v>
      </c>
      <c r="W21" s="2" t="str">
        <f>IFERROR(VLOOKUP(D21,Product_Reference!$A$1:$F$26,5,0),"Not Found!!")</f>
        <v>ABC Ltd</v>
      </c>
      <c r="X21" s="2">
        <f>IFERROR(VLOOKUP(D21,Product_Reference!$A$1:$F$26,6,0),"Not Found!!")</f>
        <v>4.5999999999999996</v>
      </c>
      <c r="AA21" s="1" t="s">
        <v>8</v>
      </c>
      <c r="AB21" s="4" t="s">
        <v>337</v>
      </c>
      <c r="AH21" t="s">
        <v>365</v>
      </c>
    </row>
    <row r="22" spans="1:51" x14ac:dyDescent="0.3">
      <c r="A22" s="2" t="s">
        <v>76</v>
      </c>
      <c r="B22" s="3">
        <v>46084</v>
      </c>
      <c r="C22" s="2" t="s">
        <v>77</v>
      </c>
      <c r="D22" s="2" t="s">
        <v>78</v>
      </c>
      <c r="E22" s="2">
        <v>6</v>
      </c>
      <c r="F22" s="2">
        <v>1200</v>
      </c>
      <c r="G22" s="2">
        <v>0.12</v>
      </c>
      <c r="H22" s="2" t="s">
        <v>19</v>
      </c>
      <c r="I22" s="2" t="s">
        <v>20</v>
      </c>
      <c r="J22" s="2" t="s">
        <v>27</v>
      </c>
      <c r="K22" s="8">
        <f t="shared" si="0"/>
        <v>7200</v>
      </c>
      <c r="L22" s="10">
        <f t="shared" si="1"/>
        <v>864</v>
      </c>
      <c r="M22" s="13">
        <f t="shared" si="2"/>
        <v>6336</v>
      </c>
      <c r="N22" s="15" t="str">
        <f t="shared" si="3"/>
        <v>Low Value</v>
      </c>
      <c r="O22" s="17" t="str">
        <f t="shared" si="4"/>
        <v>Medium</v>
      </c>
      <c r="P22" s="2" t="str">
        <f t="shared" si="5"/>
        <v>057</v>
      </c>
      <c r="Q22" s="2" t="str">
        <f t="shared" si="6"/>
        <v>102</v>
      </c>
      <c r="R22" s="2" t="str">
        <f t="shared" si="7"/>
        <v>Sneha</v>
      </c>
      <c r="S22" s="2" t="str">
        <f t="shared" si="8"/>
        <v>South</v>
      </c>
      <c r="T22" s="2" t="str">
        <f>IFERROR(VLOOKUP(D22,Product_Reference!$A$1:$F$26,2,0),"Not Found!!")</f>
        <v>Wireless Mouse</v>
      </c>
      <c r="U22" s="2" t="str">
        <f>IFERROR(VLOOKUP(D22,Product_Reference!$A$1:$F$26,3,0),"Not Found!!")</f>
        <v>Accessories</v>
      </c>
      <c r="V22" s="2" t="str">
        <f>IFERROR(VLOOKUP(D22,Product_Reference!$A$1:$F$26,4,0),"Not Found!!")</f>
        <v>ClickTech</v>
      </c>
      <c r="W22" s="2" t="str">
        <f>IFERROR(VLOOKUP(D22,Product_Reference!$A$1:$F$26,5,0),"Not Found!!")</f>
        <v>XYZ Ltd</v>
      </c>
      <c r="X22" s="2">
        <f>IFERROR(VLOOKUP(D22,Product_Reference!$A$1:$F$26,6,0),"Not Found!!")</f>
        <v>4.2</v>
      </c>
      <c r="AA22" s="2" t="s">
        <v>14</v>
      </c>
      <c r="AB22" s="2">
        <f>COUNTIF(S2:S151,AA22)</f>
        <v>33</v>
      </c>
    </row>
    <row r="23" spans="1:51" x14ac:dyDescent="0.3">
      <c r="A23" s="2" t="s">
        <v>79</v>
      </c>
      <c r="B23" s="3">
        <v>46084</v>
      </c>
      <c r="C23" s="2" t="s">
        <v>80</v>
      </c>
      <c r="D23" s="2" t="s">
        <v>81</v>
      </c>
      <c r="E23" s="2">
        <v>2</v>
      </c>
      <c r="F23" s="2">
        <v>3200</v>
      </c>
      <c r="G23" s="2">
        <v>0.15</v>
      </c>
      <c r="H23" s="2" t="s">
        <v>19</v>
      </c>
      <c r="I23" s="2" t="s">
        <v>36</v>
      </c>
      <c r="J23" s="2" t="s">
        <v>27</v>
      </c>
      <c r="K23" s="8">
        <f t="shared" si="0"/>
        <v>6400</v>
      </c>
      <c r="L23" s="10">
        <f t="shared" si="1"/>
        <v>960</v>
      </c>
      <c r="M23" s="13">
        <f t="shared" si="2"/>
        <v>5440</v>
      </c>
      <c r="N23" s="15" t="str">
        <f t="shared" si="3"/>
        <v>Low Value</v>
      </c>
      <c r="O23" s="17" t="str">
        <f t="shared" si="4"/>
        <v>Medium</v>
      </c>
      <c r="P23" s="2" t="str">
        <f t="shared" si="5"/>
        <v>011</v>
      </c>
      <c r="Q23" s="2" t="str">
        <f t="shared" si="6"/>
        <v>112</v>
      </c>
      <c r="R23" s="2" t="str">
        <f t="shared" si="7"/>
        <v>Sneha</v>
      </c>
      <c r="S23" s="2" t="str">
        <f t="shared" si="8"/>
        <v>North</v>
      </c>
      <c r="T23" s="2" t="str">
        <f>IFERROR(VLOOKUP(D23,Product_Reference!$A$1:$F$26,2,0),"Not Found!!")</f>
        <v>Webcam HD</v>
      </c>
      <c r="U23" s="2" t="str">
        <f>IFERROR(VLOOKUP(D23,Product_Reference!$A$1:$F$26,3,0),"Not Found!!")</f>
        <v>Accessories</v>
      </c>
      <c r="V23" s="2" t="str">
        <f>IFERROR(VLOOKUP(D23,Product_Reference!$A$1:$F$26,4,0),"Not Found!!")</f>
        <v>VisionTech</v>
      </c>
      <c r="W23" s="2" t="str">
        <f>IFERROR(VLOOKUP(D23,Product_Reference!$A$1:$F$26,5,0),"Not Found!!")</f>
        <v>ABC Ltd</v>
      </c>
      <c r="X23" s="2">
        <f>IFERROR(VLOOKUP(D23,Product_Reference!$A$1:$F$26,6,0),"Not Found!!")</f>
        <v>3.8</v>
      </c>
      <c r="AH23" t="s">
        <v>367</v>
      </c>
    </row>
    <row r="24" spans="1:51" x14ac:dyDescent="0.3">
      <c r="A24" s="2" t="s">
        <v>82</v>
      </c>
      <c r="B24" s="3">
        <v>46023</v>
      </c>
      <c r="C24" s="2" t="s">
        <v>77</v>
      </c>
      <c r="D24" s="2" t="s">
        <v>83</v>
      </c>
      <c r="E24" s="2">
        <v>3</v>
      </c>
      <c r="F24" s="2">
        <v>16000</v>
      </c>
      <c r="G24" s="2">
        <v>0.15</v>
      </c>
      <c r="H24" s="2" t="s">
        <v>35</v>
      </c>
      <c r="I24" s="2"/>
      <c r="J24" s="2" t="s">
        <v>27</v>
      </c>
      <c r="K24" s="8">
        <f t="shared" si="0"/>
        <v>48000</v>
      </c>
      <c r="L24" s="10">
        <f t="shared" si="1"/>
        <v>7200</v>
      </c>
      <c r="M24" s="13">
        <f t="shared" si="2"/>
        <v>40800</v>
      </c>
      <c r="N24" s="15" t="str">
        <f t="shared" si="3"/>
        <v>Medium Value</v>
      </c>
      <c r="O24" s="17" t="str">
        <f t="shared" si="4"/>
        <v>Medium</v>
      </c>
      <c r="P24" s="2" t="str">
        <f t="shared" si="5"/>
        <v>057</v>
      </c>
      <c r="Q24" s="2" t="str">
        <f t="shared" si="6"/>
        <v>125</v>
      </c>
      <c r="R24" s="2" t="str">
        <f t="shared" si="7"/>
        <v>Sneha</v>
      </c>
      <c r="S24" s="2" t="str">
        <f t="shared" si="8"/>
        <v/>
      </c>
      <c r="T24" s="2" t="str">
        <f>IFERROR(VLOOKUP(D24,Product_Reference!$A$1:$F$26,2,0),"Not Found!!")</f>
        <v>Laser Printer</v>
      </c>
      <c r="U24" s="2" t="str">
        <f>IFERROR(VLOOKUP(D24,Product_Reference!$A$1:$F$26,3,0),"Not Found!!")</f>
        <v>Office Equipment</v>
      </c>
      <c r="V24" s="2" t="str">
        <f>IFERROR(VLOOKUP(D24,Product_Reference!$A$1:$F$26,4,0),"Not Found!!")</f>
        <v>PrintPro</v>
      </c>
      <c r="W24" s="2" t="str">
        <f>IFERROR(VLOOKUP(D24,Product_Reference!$A$1:$F$26,5,0),"Not Found!!")</f>
        <v>ABC Ltd</v>
      </c>
      <c r="X24" s="2">
        <f>IFERROR(VLOOKUP(D24,Product_Reference!$A$1:$F$26,6,0),"Not Found!!")</f>
        <v>4.2</v>
      </c>
      <c r="AA24" t="s">
        <v>338</v>
      </c>
    </row>
    <row r="25" spans="1:51" x14ac:dyDescent="0.3">
      <c r="A25" s="2" t="s">
        <v>84</v>
      </c>
      <c r="B25" s="3">
        <v>46092</v>
      </c>
      <c r="C25" s="2" t="s">
        <v>85</v>
      </c>
      <c r="D25" s="2" t="s">
        <v>74</v>
      </c>
      <c r="E25" s="2">
        <v>5</v>
      </c>
      <c r="F25" s="2">
        <v>5500</v>
      </c>
      <c r="G25" s="2">
        <v>0.08</v>
      </c>
      <c r="H25" s="2" t="s">
        <v>35</v>
      </c>
      <c r="I25" s="2" t="s">
        <v>26</v>
      </c>
      <c r="J25" s="2" t="s">
        <v>37</v>
      </c>
      <c r="K25" s="8">
        <f t="shared" si="0"/>
        <v>27500</v>
      </c>
      <c r="L25" s="10">
        <f t="shared" si="1"/>
        <v>2200</v>
      </c>
      <c r="M25" s="13">
        <f t="shared" si="2"/>
        <v>25300</v>
      </c>
      <c r="N25" s="15" t="str">
        <f t="shared" si="3"/>
        <v>Medium Value</v>
      </c>
      <c r="O25" s="17" t="str">
        <f t="shared" si="4"/>
        <v>Medium</v>
      </c>
      <c r="P25" s="2" t="str">
        <f t="shared" si="5"/>
        <v>008</v>
      </c>
      <c r="Q25" s="2" t="str">
        <f t="shared" si="6"/>
        <v>113</v>
      </c>
      <c r="R25" s="2" t="str">
        <f t="shared" si="7"/>
        <v>Karan</v>
      </c>
      <c r="S25" s="2" t="str">
        <f t="shared" si="8"/>
        <v>West</v>
      </c>
      <c r="T25" s="2" t="str">
        <f>IFERROR(VLOOKUP(D25,Product_Reference!$A$1:$F$26,2,0),"Not Found!!")</f>
        <v>Wireless Earbuds</v>
      </c>
      <c r="U25" s="2" t="str">
        <f>IFERROR(VLOOKUP(D25,Product_Reference!$A$1:$F$26,3,0),"Not Found!!")</f>
        <v>Audio</v>
      </c>
      <c r="V25" s="2" t="str">
        <f>IFERROR(VLOOKUP(D25,Product_Reference!$A$1:$F$26,4,0),"Not Found!!")</f>
        <v>SoundMax</v>
      </c>
      <c r="W25" s="2" t="str">
        <f>IFERROR(VLOOKUP(D25,Product_Reference!$A$1:$F$26,5,0),"Not Found!!")</f>
        <v>LMN Ltd</v>
      </c>
      <c r="X25" s="2">
        <f>IFERROR(VLOOKUP(D25,Product_Reference!$A$1:$F$26,6,0),"Not Found!!")</f>
        <v>4.4000000000000004</v>
      </c>
      <c r="AH25" t="s">
        <v>368</v>
      </c>
    </row>
    <row r="26" spans="1:51" x14ac:dyDescent="0.3">
      <c r="A26" s="2" t="s">
        <v>86</v>
      </c>
      <c r="B26" s="3">
        <v>46066</v>
      </c>
      <c r="C26" s="2" t="s">
        <v>17</v>
      </c>
      <c r="D26" s="2" t="s">
        <v>60</v>
      </c>
      <c r="E26" s="2">
        <v>1</v>
      </c>
      <c r="F26" s="2">
        <v>45000</v>
      </c>
      <c r="G26" s="2">
        <v>0.05</v>
      </c>
      <c r="H26" s="2" t="s">
        <v>25</v>
      </c>
      <c r="I26" s="2" t="s">
        <v>26</v>
      </c>
      <c r="J26" s="2" t="s">
        <v>31</v>
      </c>
      <c r="K26" s="8">
        <f t="shared" si="0"/>
        <v>45000</v>
      </c>
      <c r="L26" s="10">
        <f t="shared" si="1"/>
        <v>2250</v>
      </c>
      <c r="M26" s="13">
        <f t="shared" si="2"/>
        <v>42750</v>
      </c>
      <c r="N26" s="15" t="str">
        <f t="shared" si="3"/>
        <v>Medium Value</v>
      </c>
      <c r="O26" s="17" t="str">
        <f t="shared" si="4"/>
        <v>Low</v>
      </c>
      <c r="P26" s="2" t="str">
        <f t="shared" si="5"/>
        <v>024</v>
      </c>
      <c r="Q26" s="2" t="str">
        <f t="shared" si="6"/>
        <v>101</v>
      </c>
      <c r="R26" s="2" t="str">
        <f t="shared" si="7"/>
        <v>Rahul</v>
      </c>
      <c r="S26" s="2" t="str">
        <f t="shared" si="8"/>
        <v>West</v>
      </c>
      <c r="T26" s="2" t="str">
        <f>IFERROR(VLOOKUP(D26,Product_Reference!$A$1:$F$26,2,0),"Not Found!!")</f>
        <v>Laptop Pro 14</v>
      </c>
      <c r="U26" s="2" t="str">
        <f>IFERROR(VLOOKUP(D26,Product_Reference!$A$1:$F$26,3,0),"Not Found!!")</f>
        <v>Electronics</v>
      </c>
      <c r="V26" s="2" t="str">
        <f>IFERROR(VLOOKUP(D26,Product_Reference!$A$1:$F$26,4,0),"Not Found!!")</f>
        <v>TechPro</v>
      </c>
      <c r="W26" s="2" t="str">
        <f>IFERROR(VLOOKUP(D26,Product_Reference!$A$1:$F$26,5,0),"Not Found!!")</f>
        <v>ABC Ltd</v>
      </c>
      <c r="X26" s="2">
        <f>IFERROR(VLOOKUP(D26,Product_Reference!$A$1:$F$26,6,0),"Not Found!!")</f>
        <v>4.5</v>
      </c>
      <c r="AA26" s="6" t="s">
        <v>339</v>
      </c>
      <c r="AB26" s="2">
        <f>COUNTIF(E2:E151,"&gt;=3")</f>
        <v>64</v>
      </c>
    </row>
    <row r="27" spans="1:51" x14ac:dyDescent="0.3">
      <c r="A27" s="2" t="s">
        <v>87</v>
      </c>
      <c r="B27" s="3">
        <v>46080</v>
      </c>
      <c r="C27" s="2" t="s">
        <v>33</v>
      </c>
      <c r="D27" s="2" t="s">
        <v>88</v>
      </c>
      <c r="E27" s="2">
        <v>1</v>
      </c>
      <c r="F27" s="2">
        <v>2200</v>
      </c>
      <c r="G27" s="2">
        <v>0.15</v>
      </c>
      <c r="H27" s="2" t="s">
        <v>19</v>
      </c>
      <c r="I27" s="2" t="s">
        <v>36</v>
      </c>
      <c r="J27" s="2" t="s">
        <v>15</v>
      </c>
      <c r="K27" s="8">
        <f t="shared" si="0"/>
        <v>2200</v>
      </c>
      <c r="L27" s="10">
        <f t="shared" si="1"/>
        <v>330</v>
      </c>
      <c r="M27" s="13">
        <f t="shared" si="2"/>
        <v>1870</v>
      </c>
      <c r="N27" s="15" t="str">
        <f t="shared" si="3"/>
        <v>Low Value</v>
      </c>
      <c r="O27" s="17" t="str">
        <f t="shared" si="4"/>
        <v>Medium</v>
      </c>
      <c r="P27" s="2" t="str">
        <f t="shared" si="5"/>
        <v>052</v>
      </c>
      <c r="Q27" s="2" t="str">
        <f t="shared" si="6"/>
        <v>120</v>
      </c>
      <c r="R27" s="2" t="str">
        <f t="shared" si="7"/>
        <v>Priya</v>
      </c>
      <c r="S27" s="2" t="str">
        <f t="shared" si="8"/>
        <v>North</v>
      </c>
      <c r="T27" s="2" t="str">
        <f>IFERROR(VLOOKUP(D27,Product_Reference!$A$1:$F$26,2,0),"Not Found!!")</f>
        <v>Desk Lamp</v>
      </c>
      <c r="U27" s="2" t="str">
        <f>IFERROR(VLOOKUP(D27,Product_Reference!$A$1:$F$26,3,0),"Not Found!!")</f>
        <v>Furniture</v>
      </c>
      <c r="V27" s="2" t="str">
        <f>IFERROR(VLOOKUP(D27,Product_Reference!$A$1:$F$26,4,0),"Not Found!!")</f>
        <v>BrightHome</v>
      </c>
      <c r="W27" s="2" t="str">
        <f>IFERROR(VLOOKUP(D27,Product_Reference!$A$1:$F$26,5,0),"Not Found!!")</f>
        <v>XYZ Ltd</v>
      </c>
      <c r="X27" s="2">
        <f>IFERROR(VLOOKUP(D27,Product_Reference!$A$1:$F$26,6,0),"Not Found!!")</f>
        <v>3.9</v>
      </c>
      <c r="AH27" t="s">
        <v>369</v>
      </c>
    </row>
    <row r="28" spans="1:51" x14ac:dyDescent="0.3">
      <c r="A28" s="2" t="s">
        <v>89</v>
      </c>
      <c r="B28" s="3">
        <v>46078</v>
      </c>
      <c r="C28" s="2" t="s">
        <v>90</v>
      </c>
      <c r="D28" s="2" t="s">
        <v>69</v>
      </c>
      <c r="E28" s="2">
        <v>1</v>
      </c>
      <c r="F28" s="2">
        <v>65000</v>
      </c>
      <c r="G28" s="2">
        <v>0.12</v>
      </c>
      <c r="H28" s="2" t="s">
        <v>19</v>
      </c>
      <c r="I28" s="2" t="s">
        <v>26</v>
      </c>
      <c r="J28" s="2" t="s">
        <v>15</v>
      </c>
      <c r="K28" s="8">
        <f t="shared" si="0"/>
        <v>65000</v>
      </c>
      <c r="L28" s="10">
        <f t="shared" si="1"/>
        <v>7800</v>
      </c>
      <c r="M28" s="13">
        <f t="shared" si="2"/>
        <v>57200</v>
      </c>
      <c r="N28" s="15" t="str">
        <f t="shared" si="3"/>
        <v>High Value</v>
      </c>
      <c r="O28" s="17" t="str">
        <f t="shared" si="4"/>
        <v>Medium</v>
      </c>
      <c r="P28" s="2" t="str">
        <f t="shared" si="5"/>
        <v>017</v>
      </c>
      <c r="Q28" s="2" t="str">
        <f t="shared" si="6"/>
        <v>103</v>
      </c>
      <c r="R28" s="2" t="str">
        <f t="shared" si="7"/>
        <v>Priya</v>
      </c>
      <c r="S28" s="2" t="str">
        <f t="shared" si="8"/>
        <v>West</v>
      </c>
      <c r="T28" s="2" t="str">
        <f>IFERROR(VLOOKUP(D28,Product_Reference!$A$1:$F$26,2,0),"Not Found!!")</f>
        <v>Smartphone X</v>
      </c>
      <c r="U28" s="2" t="str">
        <f>IFERROR(VLOOKUP(D28,Product_Reference!$A$1:$F$26,3,0),"Not Found!!")</f>
        <v>Electronics</v>
      </c>
      <c r="V28" s="2" t="str">
        <f>IFERROR(VLOOKUP(D28,Product_Reference!$A$1:$F$26,4,0),"Not Found!!")</f>
        <v>MobileMax</v>
      </c>
      <c r="W28" s="2" t="str">
        <f>IFERROR(VLOOKUP(D28,Product_Reference!$A$1:$F$26,5,0),"Not Found!!")</f>
        <v>ABC Ltd</v>
      </c>
      <c r="X28" s="2">
        <f>IFERROR(VLOOKUP(D28,Product_Reference!$A$1:$F$26,6,0),"Not Found!!")</f>
        <v>4.5999999999999996</v>
      </c>
      <c r="AA28" t="s">
        <v>340</v>
      </c>
    </row>
    <row r="29" spans="1:51" x14ac:dyDescent="0.3">
      <c r="A29" s="2" t="s">
        <v>91</v>
      </c>
      <c r="B29" s="3">
        <v>46023</v>
      </c>
      <c r="C29" s="2" t="s">
        <v>92</v>
      </c>
      <c r="D29" s="2" t="s">
        <v>24</v>
      </c>
      <c r="E29" s="2">
        <v>3</v>
      </c>
      <c r="F29" s="2">
        <v>5500</v>
      </c>
      <c r="G29" s="2">
        <v>0.12</v>
      </c>
      <c r="H29" s="2" t="s">
        <v>35</v>
      </c>
      <c r="I29" s="2" t="s">
        <v>14</v>
      </c>
      <c r="J29" s="2" t="s">
        <v>27</v>
      </c>
      <c r="K29" s="8">
        <f t="shared" si="0"/>
        <v>16500</v>
      </c>
      <c r="L29" s="10">
        <f t="shared" si="1"/>
        <v>1980</v>
      </c>
      <c r="M29" s="13">
        <f t="shared" si="2"/>
        <v>14520</v>
      </c>
      <c r="N29" s="15" t="str">
        <f t="shared" si="3"/>
        <v>Low Value</v>
      </c>
      <c r="O29" s="17" t="str">
        <f t="shared" si="4"/>
        <v>Medium</v>
      </c>
      <c r="P29" s="2" t="str">
        <f t="shared" si="5"/>
        <v>019</v>
      </c>
      <c r="Q29" s="2" t="str">
        <f t="shared" si="6"/>
        <v>122</v>
      </c>
      <c r="R29" s="2" t="str">
        <f t="shared" si="7"/>
        <v>Sneha</v>
      </c>
      <c r="S29" s="2" t="str">
        <f t="shared" si="8"/>
        <v>East</v>
      </c>
      <c r="T29" s="2" t="str">
        <f>IFERROR(VLOOKUP(D29,Product_Reference!$A$1:$F$26,2,0),"Not Found!!")</f>
        <v>Router AX1800</v>
      </c>
      <c r="U29" s="2" t="str">
        <f>IFERROR(VLOOKUP(D29,Product_Reference!$A$1:$F$26,3,0),"Not Found!!")</f>
        <v>Networking</v>
      </c>
      <c r="V29" s="2" t="str">
        <f>IFERROR(VLOOKUP(D29,Product_Reference!$A$1:$F$26,4,0),"Not Found!!")</f>
        <v>NetLink</v>
      </c>
      <c r="W29" s="2" t="str">
        <f>IFERROR(VLOOKUP(D29,Product_Reference!$A$1:$F$26,5,0),"Not Found!!")</f>
        <v>ABC Ltd</v>
      </c>
      <c r="X29" s="2">
        <f>IFERROR(VLOOKUP(D29,Product_Reference!$A$1:$F$26,6,0),"Not Found!!")</f>
        <v>4.5</v>
      </c>
      <c r="AH29" t="s">
        <v>370</v>
      </c>
    </row>
    <row r="30" spans="1:51" x14ac:dyDescent="0.3">
      <c r="A30" s="2" t="s">
        <v>93</v>
      </c>
      <c r="B30" s="3">
        <v>46077</v>
      </c>
      <c r="C30" s="2" t="s">
        <v>80</v>
      </c>
      <c r="D30" s="2" t="s">
        <v>94</v>
      </c>
      <c r="E30" s="2">
        <v>3</v>
      </c>
      <c r="F30" s="2">
        <v>4500</v>
      </c>
      <c r="G30" s="2">
        <v>0.1</v>
      </c>
      <c r="H30" s="2" t="s">
        <v>19</v>
      </c>
      <c r="I30" s="2" t="s">
        <v>95</v>
      </c>
      <c r="J30" s="2" t="s">
        <v>50</v>
      </c>
      <c r="K30" s="8">
        <f t="shared" si="0"/>
        <v>13500</v>
      </c>
      <c r="L30" s="10">
        <f t="shared" si="1"/>
        <v>1350</v>
      </c>
      <c r="M30" s="13">
        <f t="shared" si="2"/>
        <v>12150</v>
      </c>
      <c r="N30" s="15" t="str">
        <f t="shared" si="3"/>
        <v>Low Value</v>
      </c>
      <c r="O30" s="17" t="str">
        <f t="shared" si="4"/>
        <v>Medium</v>
      </c>
      <c r="P30" s="2" t="str">
        <f t="shared" si="5"/>
        <v>011</v>
      </c>
      <c r="Q30" s="2" t="str">
        <f t="shared" si="6"/>
        <v>106</v>
      </c>
      <c r="R30" s="2" t="str">
        <f t="shared" si="7"/>
        <v>Neha</v>
      </c>
      <c r="S30" s="2" t="str">
        <f t="shared" si="8"/>
        <v>West</v>
      </c>
      <c r="T30" s="2" t="str">
        <f>IFERROR(VLOOKUP(D30,Product_Reference!$A$1:$F$26,2,0),"Not Found!!")</f>
        <v>Bluetooth Speaker</v>
      </c>
      <c r="U30" s="2" t="str">
        <f>IFERROR(VLOOKUP(D30,Product_Reference!$A$1:$F$26,3,0),"Not Found!!")</f>
        <v>Audio</v>
      </c>
      <c r="V30" s="2" t="str">
        <f>IFERROR(VLOOKUP(D30,Product_Reference!$A$1:$F$26,4,0),"Not Found!!")</f>
        <v>SoundMax</v>
      </c>
      <c r="W30" s="2" t="str">
        <f>IFERROR(VLOOKUP(D30,Product_Reference!$A$1:$F$26,5,0),"Not Found!!")</f>
        <v>LMN Ltd</v>
      </c>
      <c r="X30" s="2">
        <f>IFERROR(VLOOKUP(D30,Product_Reference!$A$1:$F$26,6,0),"Not Found!!")</f>
        <v>3.9</v>
      </c>
      <c r="AA30" s="4" t="s">
        <v>341</v>
      </c>
      <c r="AB30" s="2">
        <f>COUNTIF(G2:G151,"&gt;10%")</f>
        <v>81</v>
      </c>
    </row>
    <row r="31" spans="1:51" x14ac:dyDescent="0.3">
      <c r="A31" s="2" t="s">
        <v>96</v>
      </c>
      <c r="B31" s="3">
        <v>46092</v>
      </c>
      <c r="C31" s="2" t="s">
        <v>29</v>
      </c>
      <c r="D31" s="2" t="s">
        <v>58</v>
      </c>
      <c r="E31" s="2">
        <v>2</v>
      </c>
      <c r="F31" s="2">
        <v>2500</v>
      </c>
      <c r="G31" s="2">
        <v>0.1</v>
      </c>
      <c r="H31" s="2" t="s">
        <v>35</v>
      </c>
      <c r="I31" s="2" t="s">
        <v>20</v>
      </c>
      <c r="J31" s="2" t="s">
        <v>31</v>
      </c>
      <c r="K31" s="8">
        <f t="shared" si="0"/>
        <v>5000</v>
      </c>
      <c r="L31" s="10">
        <f t="shared" si="1"/>
        <v>500</v>
      </c>
      <c r="M31" s="13">
        <f t="shared" si="2"/>
        <v>4500</v>
      </c>
      <c r="N31" s="15" t="str">
        <f t="shared" si="3"/>
        <v>Low Value</v>
      </c>
      <c r="O31" s="17" t="str">
        <f t="shared" si="4"/>
        <v>Medium</v>
      </c>
      <c r="P31" s="2" t="str">
        <f t="shared" si="5"/>
        <v>022</v>
      </c>
      <c r="Q31" s="2" t="str">
        <f t="shared" si="6"/>
        <v>124</v>
      </c>
      <c r="R31" s="2" t="str">
        <f t="shared" si="7"/>
        <v>Rahul</v>
      </c>
      <c r="S31" s="2" t="str">
        <f t="shared" si="8"/>
        <v>South</v>
      </c>
      <c r="T31" s="2" t="str">
        <f>IFERROR(VLOOKUP(D31,Product_Reference!$A$1:$F$26,2,0),"Not Found!!")</f>
        <v>Tablet Keyboard</v>
      </c>
      <c r="U31" s="2" t="str">
        <f>IFERROR(VLOOKUP(D31,Product_Reference!$A$1:$F$26,3,0),"Not Found!!")</f>
        <v>Accessories</v>
      </c>
      <c r="V31" s="2" t="str">
        <f>IFERROR(VLOOKUP(D31,Product_Reference!$A$1:$F$26,4,0),"Not Found!!")</f>
        <v>KeyMaster</v>
      </c>
      <c r="W31" s="2" t="str">
        <f>IFERROR(VLOOKUP(D31,Product_Reference!$A$1:$F$26,5,0),"Not Found!!")</f>
        <v>PQR Ltd</v>
      </c>
      <c r="X31" s="2">
        <f>IFERROR(VLOOKUP(D31,Product_Reference!$A$1:$F$26,6,0),"Not Found!!")</f>
        <v>3.8</v>
      </c>
      <c r="AH31" t="s">
        <v>372</v>
      </c>
    </row>
    <row r="32" spans="1:51" x14ac:dyDescent="0.3">
      <c r="A32" s="2" t="s">
        <v>97</v>
      </c>
      <c r="B32" s="3">
        <v>46025</v>
      </c>
      <c r="C32" s="2" t="s">
        <v>98</v>
      </c>
      <c r="D32" s="2" t="s">
        <v>99</v>
      </c>
      <c r="E32" s="2">
        <v>3</v>
      </c>
      <c r="F32" s="2">
        <v>8500</v>
      </c>
      <c r="G32" s="2">
        <v>0.2</v>
      </c>
      <c r="H32" s="2" t="s">
        <v>19</v>
      </c>
      <c r="I32" s="2" t="s">
        <v>20</v>
      </c>
      <c r="J32" s="2" t="s">
        <v>21</v>
      </c>
      <c r="K32" s="8">
        <f t="shared" si="0"/>
        <v>25500</v>
      </c>
      <c r="L32" s="10">
        <f t="shared" si="1"/>
        <v>5100</v>
      </c>
      <c r="M32" s="13">
        <f t="shared" si="2"/>
        <v>20400</v>
      </c>
      <c r="N32" s="15" t="str">
        <f t="shared" si="3"/>
        <v>Medium Value</v>
      </c>
      <c r="O32" s="17" t="str">
        <f t="shared" si="4"/>
        <v>Medium</v>
      </c>
      <c r="P32" s="2" t="str">
        <f t="shared" si="5"/>
        <v>020</v>
      </c>
      <c r="Q32" s="2" t="str">
        <f t="shared" si="6"/>
        <v>109</v>
      </c>
      <c r="R32" s="2" t="str">
        <f t="shared" si="7"/>
        <v>Amit</v>
      </c>
      <c r="S32" s="2" t="str">
        <f t="shared" si="8"/>
        <v>South</v>
      </c>
      <c r="T32" s="2" t="str">
        <f>IFERROR(VLOOKUP(D32,Product_Reference!$A$1:$F$26,2,0),"Not Found!!")</f>
        <v>Noise Cancelling Headphones</v>
      </c>
      <c r="U32" s="2" t="str">
        <f>IFERROR(VLOOKUP(D32,Product_Reference!$A$1:$F$26,3,0),"Not Found!!")</f>
        <v>Audio</v>
      </c>
      <c r="V32" s="2" t="str">
        <f>IFERROR(VLOOKUP(D32,Product_Reference!$A$1:$F$26,4,0),"Not Found!!")</f>
        <v>SoundMax</v>
      </c>
      <c r="W32" s="2" t="str">
        <f>IFERROR(VLOOKUP(D32,Product_Reference!$A$1:$F$26,5,0),"Not Found!!")</f>
        <v>LMN Ltd</v>
      </c>
      <c r="X32" s="2">
        <f>IFERROR(VLOOKUP(D32,Product_Reference!$A$1:$F$26,6,0),"Not Found!!")</f>
        <v>4.7</v>
      </c>
      <c r="AA32" t="s">
        <v>342</v>
      </c>
    </row>
    <row r="33" spans="1:41" x14ac:dyDescent="0.3">
      <c r="A33" s="2" t="s">
        <v>100</v>
      </c>
      <c r="B33" s="3">
        <v>46093</v>
      </c>
      <c r="C33" s="2" t="s">
        <v>33</v>
      </c>
      <c r="D33" s="2" t="s">
        <v>69</v>
      </c>
      <c r="E33" s="2">
        <v>1</v>
      </c>
      <c r="F33" s="2">
        <v>65000</v>
      </c>
      <c r="G33" s="2">
        <v>0.1</v>
      </c>
      <c r="H33" s="2" t="s">
        <v>25</v>
      </c>
      <c r="I33" s="2" t="s">
        <v>20</v>
      </c>
      <c r="J33" s="2" t="s">
        <v>15</v>
      </c>
      <c r="K33" s="8">
        <f t="shared" si="0"/>
        <v>65000</v>
      </c>
      <c r="L33" s="10">
        <f t="shared" si="1"/>
        <v>6500</v>
      </c>
      <c r="M33" s="13">
        <f t="shared" si="2"/>
        <v>58500</v>
      </c>
      <c r="N33" s="15" t="str">
        <f t="shared" si="3"/>
        <v>High Value</v>
      </c>
      <c r="O33" s="17" t="str">
        <f t="shared" si="4"/>
        <v>Medium</v>
      </c>
      <c r="P33" s="2" t="str">
        <f t="shared" si="5"/>
        <v>052</v>
      </c>
      <c r="Q33" s="2" t="str">
        <f t="shared" si="6"/>
        <v>103</v>
      </c>
      <c r="R33" s="2" t="str">
        <f t="shared" si="7"/>
        <v>Priya</v>
      </c>
      <c r="S33" s="2" t="str">
        <f t="shared" si="8"/>
        <v>South</v>
      </c>
      <c r="T33" s="2" t="str">
        <f>IFERROR(VLOOKUP(D33,Product_Reference!$A$1:$F$26,2,0),"Not Found!!")</f>
        <v>Smartphone X</v>
      </c>
      <c r="U33" s="2" t="str">
        <f>IFERROR(VLOOKUP(D33,Product_Reference!$A$1:$F$26,3,0),"Not Found!!")</f>
        <v>Electronics</v>
      </c>
      <c r="V33" s="2" t="str">
        <f>IFERROR(VLOOKUP(D33,Product_Reference!$A$1:$F$26,4,0),"Not Found!!")</f>
        <v>MobileMax</v>
      </c>
      <c r="W33" s="2" t="str">
        <f>IFERROR(VLOOKUP(D33,Product_Reference!$A$1:$F$26,5,0),"Not Found!!")</f>
        <v>ABC Ltd</v>
      </c>
      <c r="X33" s="2">
        <f>IFERROR(VLOOKUP(D33,Product_Reference!$A$1:$F$26,6,0),"Not Found!!")</f>
        <v>4.5999999999999996</v>
      </c>
      <c r="AH33" s="1" t="s">
        <v>3</v>
      </c>
      <c r="AI33" s="26" t="s">
        <v>366</v>
      </c>
      <c r="AJ33" s="26" t="s">
        <v>269</v>
      </c>
      <c r="AK33" s="26" t="s">
        <v>270</v>
      </c>
      <c r="AL33" s="26" t="s">
        <v>271</v>
      </c>
      <c r="AM33" s="26" t="s">
        <v>371</v>
      </c>
      <c r="AO33" s="2" t="s">
        <v>12</v>
      </c>
    </row>
    <row r="34" spans="1:41" x14ac:dyDescent="0.3">
      <c r="A34" s="2" t="s">
        <v>101</v>
      </c>
      <c r="B34" s="3">
        <v>46079</v>
      </c>
      <c r="C34" s="2" t="s">
        <v>102</v>
      </c>
      <c r="D34" s="2" t="s">
        <v>103</v>
      </c>
      <c r="E34" s="2">
        <v>1</v>
      </c>
      <c r="F34" s="2">
        <v>7000</v>
      </c>
      <c r="G34" s="2">
        <v>0.08</v>
      </c>
      <c r="H34" s="2" t="s">
        <v>19</v>
      </c>
      <c r="I34" s="2" t="s">
        <v>36</v>
      </c>
      <c r="J34" s="2" t="s">
        <v>50</v>
      </c>
      <c r="K34" s="8">
        <f t="shared" si="0"/>
        <v>7000</v>
      </c>
      <c r="L34" s="10">
        <f t="shared" si="1"/>
        <v>560</v>
      </c>
      <c r="M34" s="13">
        <f t="shared" si="2"/>
        <v>6440</v>
      </c>
      <c r="N34" s="15" t="str">
        <f t="shared" si="3"/>
        <v>Low Value</v>
      </c>
      <c r="O34" s="17" t="str">
        <f t="shared" si="4"/>
        <v>Low</v>
      </c>
      <c r="P34" s="2" t="str">
        <f t="shared" si="5"/>
        <v>025</v>
      </c>
      <c r="Q34" s="2" t="str">
        <f t="shared" si="6"/>
        <v>108</v>
      </c>
      <c r="R34" s="2" t="str">
        <f t="shared" si="7"/>
        <v>Neha</v>
      </c>
      <c r="S34" s="2" t="str">
        <f t="shared" si="8"/>
        <v>North</v>
      </c>
      <c r="T34" s="2" t="str">
        <f>IFERROR(VLOOKUP(D34,Product_Reference!$A$1:$F$26,2,0),"Not Found!!")</f>
        <v>Smart Watch</v>
      </c>
      <c r="U34" s="2" t="str">
        <f>IFERROR(VLOOKUP(D34,Product_Reference!$A$1:$F$26,3,0),"Not Found!!")</f>
        <v>Wearables</v>
      </c>
      <c r="V34" s="2" t="str">
        <f>IFERROR(VLOOKUP(D34,Product_Reference!$A$1:$F$26,4,0),"Not Found!!")</f>
        <v>FitTech</v>
      </c>
      <c r="W34" s="2" t="str">
        <f>IFERROR(VLOOKUP(D34,Product_Reference!$A$1:$F$26,5,0),"Not Found!!")</f>
        <v>ABC Ltd</v>
      </c>
      <c r="X34" s="2">
        <f>IFERROR(VLOOKUP(D34,Product_Reference!$A$1:$F$26,6,0),"Not Found!!")</f>
        <v>4</v>
      </c>
      <c r="AA34" s="1" t="s">
        <v>7</v>
      </c>
      <c r="AB34" s="1" t="s">
        <v>8</v>
      </c>
      <c r="AC34" s="4" t="s">
        <v>337</v>
      </c>
      <c r="AH34" s="2" t="s">
        <v>12</v>
      </c>
      <c r="AI34" s="2" t="str" cm="1">
        <f t="array" ref="AI34:AM34">IFERROR(VLOOKUP(AH34,Product_Reference!$A$1:$F$26,{2,3,4,5,6},0),"Not Found!!")</f>
        <v>USB-C Hub</v>
      </c>
      <c r="AJ34" s="2" t="str">
        <v>Accessories</v>
      </c>
      <c r="AK34" s="2" t="str">
        <v>ConnectPro</v>
      </c>
      <c r="AL34" s="2" t="str">
        <v>PQR Ltd</v>
      </c>
      <c r="AM34" s="2">
        <v>4.3</v>
      </c>
      <c r="AO34" s="2" t="s">
        <v>18</v>
      </c>
    </row>
    <row r="35" spans="1:41" x14ac:dyDescent="0.3">
      <c r="A35" s="2" t="s">
        <v>104</v>
      </c>
      <c r="B35" s="3">
        <v>46038</v>
      </c>
      <c r="C35" s="2" t="s">
        <v>42</v>
      </c>
      <c r="D35" s="2" t="s">
        <v>34</v>
      </c>
      <c r="E35" s="2">
        <v>1</v>
      </c>
      <c r="F35" s="2">
        <v>9000</v>
      </c>
      <c r="G35" s="2">
        <v>0.18</v>
      </c>
      <c r="H35" s="2" t="s">
        <v>25</v>
      </c>
      <c r="I35" s="2" t="s">
        <v>20</v>
      </c>
      <c r="J35" s="2" t="s">
        <v>27</v>
      </c>
      <c r="K35" s="8">
        <f t="shared" si="0"/>
        <v>9000</v>
      </c>
      <c r="L35" s="10">
        <f t="shared" si="1"/>
        <v>1620</v>
      </c>
      <c r="M35" s="13">
        <f t="shared" si="2"/>
        <v>7380</v>
      </c>
      <c r="N35" s="15" t="str">
        <f t="shared" si="3"/>
        <v>Low Value</v>
      </c>
      <c r="O35" s="17" t="str">
        <f t="shared" si="4"/>
        <v>Medium</v>
      </c>
      <c r="P35" s="2" t="str">
        <f t="shared" si="5"/>
        <v>026</v>
      </c>
      <c r="Q35" s="2" t="str">
        <f t="shared" si="6"/>
        <v>110</v>
      </c>
      <c r="R35" s="2" t="str">
        <f t="shared" si="7"/>
        <v>Sneha</v>
      </c>
      <c r="S35" s="2" t="str">
        <f t="shared" si="8"/>
        <v>South</v>
      </c>
      <c r="T35" s="2" t="str">
        <f>IFERROR(VLOOKUP(D35,Product_Reference!$A$1:$F$26,2,0),"Not Found!!")</f>
        <v>External SSD 1TB</v>
      </c>
      <c r="U35" s="2" t="str">
        <f>IFERROR(VLOOKUP(D35,Product_Reference!$A$1:$F$26,3,0),"Not Found!!")</f>
        <v>Storage</v>
      </c>
      <c r="V35" s="2" t="str">
        <f>IFERROR(VLOOKUP(D35,Product_Reference!$A$1:$F$26,4,0),"Not Found!!")</f>
        <v>DataDrive</v>
      </c>
      <c r="W35" s="2" t="str">
        <f>IFERROR(VLOOKUP(D35,Product_Reference!$A$1:$F$26,5,0),"Not Found!!")</f>
        <v>PQR Ltd</v>
      </c>
      <c r="X35" s="2">
        <f>IFERROR(VLOOKUP(D35,Product_Reference!$A$1:$F$26,6,0),"Not Found!!")</f>
        <v>4.5</v>
      </c>
      <c r="AA35" s="2" t="s">
        <v>19</v>
      </c>
      <c r="AB35" s="2" t="s">
        <v>14</v>
      </c>
      <c r="AC35" s="2">
        <f>COUNTIFS(H2:H151,AA35,S2:S151,AB35)</f>
        <v>14</v>
      </c>
      <c r="AO35" s="2" t="s">
        <v>24</v>
      </c>
    </row>
    <row r="36" spans="1:41" x14ac:dyDescent="0.3">
      <c r="A36" s="2" t="s">
        <v>105</v>
      </c>
      <c r="B36" s="3">
        <v>46070</v>
      </c>
      <c r="C36" s="2" t="s">
        <v>106</v>
      </c>
      <c r="D36" s="2" t="s">
        <v>107</v>
      </c>
      <c r="E36" s="2">
        <v>1</v>
      </c>
      <c r="F36" s="2">
        <v>1800</v>
      </c>
      <c r="G36" s="2">
        <v>0</v>
      </c>
      <c r="H36" s="2" t="s">
        <v>35</v>
      </c>
      <c r="I36" s="2" t="s">
        <v>20</v>
      </c>
      <c r="J36" s="2" t="s">
        <v>21</v>
      </c>
      <c r="K36" s="8">
        <f t="shared" si="0"/>
        <v>1800</v>
      </c>
      <c r="L36" s="10">
        <f t="shared" si="1"/>
        <v>0</v>
      </c>
      <c r="M36" s="13">
        <f t="shared" si="2"/>
        <v>1800</v>
      </c>
      <c r="N36" s="15" t="str">
        <f t="shared" si="3"/>
        <v>Low Value</v>
      </c>
      <c r="O36" s="17" t="str">
        <f t="shared" si="4"/>
        <v>Low</v>
      </c>
      <c r="P36" s="2" t="str">
        <f t="shared" si="5"/>
        <v>012</v>
      </c>
      <c r="Q36" s="2" t="str">
        <f t="shared" si="6"/>
        <v>117</v>
      </c>
      <c r="R36" s="2" t="str">
        <f t="shared" si="7"/>
        <v>Amit</v>
      </c>
      <c r="S36" s="2" t="str">
        <f t="shared" si="8"/>
        <v>South</v>
      </c>
      <c r="T36" s="2" t="str">
        <f>IFERROR(VLOOKUP(D36,Product_Reference!$A$1:$F$26,2,0),"Not Found!!")</f>
        <v>Laptop Stand</v>
      </c>
      <c r="U36" s="2" t="str">
        <f>IFERROR(VLOOKUP(D36,Product_Reference!$A$1:$F$26,3,0),"Not Found!!")</f>
        <v>Accessories</v>
      </c>
      <c r="V36" s="2" t="str">
        <f>IFERROR(VLOOKUP(D36,Product_Reference!$A$1:$F$26,4,0),"Not Found!!")</f>
        <v>ErgoTech</v>
      </c>
      <c r="W36" s="2" t="str">
        <f>IFERROR(VLOOKUP(D36,Product_Reference!$A$1:$F$26,5,0),"Not Found!!")</f>
        <v>PQR Ltd</v>
      </c>
      <c r="X36" s="2">
        <f>IFERROR(VLOOKUP(D36,Product_Reference!$A$1:$F$26,6,0),"Not Found!!")</f>
        <v>4</v>
      </c>
      <c r="AO36" s="2" t="s">
        <v>30</v>
      </c>
    </row>
    <row r="37" spans="1:41" x14ac:dyDescent="0.3">
      <c r="A37" s="2" t="s">
        <v>108</v>
      </c>
      <c r="B37" s="3">
        <v>46041</v>
      </c>
      <c r="C37" s="2" t="s">
        <v>109</v>
      </c>
      <c r="D37" s="2" t="s">
        <v>55</v>
      </c>
      <c r="E37" s="2">
        <v>5</v>
      </c>
      <c r="F37" s="2">
        <v>2800</v>
      </c>
      <c r="G37" s="2">
        <v>0</v>
      </c>
      <c r="H37" s="2" t="s">
        <v>25</v>
      </c>
      <c r="I37" s="2" t="s">
        <v>20</v>
      </c>
      <c r="J37" s="2" t="s">
        <v>50</v>
      </c>
      <c r="K37" s="8">
        <f t="shared" si="0"/>
        <v>14000</v>
      </c>
      <c r="L37" s="10">
        <f t="shared" si="1"/>
        <v>0</v>
      </c>
      <c r="M37" s="13">
        <f t="shared" si="2"/>
        <v>14000</v>
      </c>
      <c r="N37" s="15" t="str">
        <f t="shared" si="3"/>
        <v>Low Value</v>
      </c>
      <c r="O37" s="17" t="str">
        <f t="shared" si="4"/>
        <v>Medium</v>
      </c>
      <c r="P37" s="2" t="str">
        <f t="shared" si="5"/>
        <v xml:space="preserve">14 </v>
      </c>
      <c r="Q37" s="2" t="str">
        <f t="shared" si="6"/>
        <v>123</v>
      </c>
      <c r="R37" s="2" t="str">
        <f t="shared" si="7"/>
        <v>Neha</v>
      </c>
      <c r="S37" s="2" t="str">
        <f t="shared" si="8"/>
        <v>South</v>
      </c>
      <c r="T37" s="2" t="str">
        <f>IFERROR(VLOOKUP(D37,Product_Reference!$A$1:$F$26,2,0),"Not Found!!")</f>
        <v>Wi-Fi Range Extender</v>
      </c>
      <c r="U37" s="2" t="str">
        <f>IFERROR(VLOOKUP(D37,Product_Reference!$A$1:$F$26,3,0),"Not Found!!")</f>
        <v>Networking</v>
      </c>
      <c r="V37" s="2" t="str">
        <f>IFERROR(VLOOKUP(D37,Product_Reference!$A$1:$F$26,4,0),"Not Found!!")</f>
        <v>NetLink</v>
      </c>
      <c r="W37" s="2" t="str">
        <f>IFERROR(VLOOKUP(D37,Product_Reference!$A$1:$F$26,5,0),"Not Found!!")</f>
        <v>XYZ Ltd</v>
      </c>
      <c r="X37" s="2">
        <f>IFERROR(VLOOKUP(D37,Product_Reference!$A$1:$F$26,6,0),"Not Found!!")</f>
        <v>4</v>
      </c>
      <c r="AA37" t="s">
        <v>343</v>
      </c>
      <c r="AO37" s="2" t="s">
        <v>34</v>
      </c>
    </row>
    <row r="38" spans="1:41" x14ac:dyDescent="0.3">
      <c r="A38" s="2" t="s">
        <v>110</v>
      </c>
      <c r="B38" s="3">
        <v>46097</v>
      </c>
      <c r="C38" s="2" t="s">
        <v>111</v>
      </c>
      <c r="D38" s="2" t="s">
        <v>58</v>
      </c>
      <c r="E38" s="2">
        <v>1</v>
      </c>
      <c r="F38" s="2">
        <v>2500</v>
      </c>
      <c r="G38" s="2">
        <v>0.2</v>
      </c>
      <c r="H38" s="2" t="s">
        <v>19</v>
      </c>
      <c r="I38" s="2" t="s">
        <v>26</v>
      </c>
      <c r="J38" s="2" t="s">
        <v>27</v>
      </c>
      <c r="K38" s="8">
        <f t="shared" si="0"/>
        <v>2500</v>
      </c>
      <c r="L38" s="10">
        <f t="shared" si="1"/>
        <v>500</v>
      </c>
      <c r="M38" s="13">
        <f t="shared" si="2"/>
        <v>2000</v>
      </c>
      <c r="N38" s="15" t="str">
        <f t="shared" si="3"/>
        <v>Low Value</v>
      </c>
      <c r="O38" s="17" t="str">
        <f t="shared" si="4"/>
        <v>Medium</v>
      </c>
      <c r="P38" s="2" t="str">
        <f t="shared" si="5"/>
        <v>049</v>
      </c>
      <c r="Q38" s="2" t="str">
        <f t="shared" si="6"/>
        <v>124</v>
      </c>
      <c r="R38" s="2" t="str">
        <f t="shared" si="7"/>
        <v>Sneha</v>
      </c>
      <c r="S38" s="2" t="str">
        <f t="shared" si="8"/>
        <v>West</v>
      </c>
      <c r="T38" s="2" t="str">
        <f>IFERROR(VLOOKUP(D38,Product_Reference!$A$1:$F$26,2,0),"Not Found!!")</f>
        <v>Tablet Keyboard</v>
      </c>
      <c r="U38" s="2" t="str">
        <f>IFERROR(VLOOKUP(D38,Product_Reference!$A$1:$F$26,3,0),"Not Found!!")</f>
        <v>Accessories</v>
      </c>
      <c r="V38" s="2" t="str">
        <f>IFERROR(VLOOKUP(D38,Product_Reference!$A$1:$F$26,4,0),"Not Found!!")</f>
        <v>KeyMaster</v>
      </c>
      <c r="W38" s="2" t="str">
        <f>IFERROR(VLOOKUP(D38,Product_Reference!$A$1:$F$26,5,0),"Not Found!!")</f>
        <v>PQR Ltd</v>
      </c>
      <c r="X38" s="2">
        <f>IFERROR(VLOOKUP(D38,Product_Reference!$A$1:$F$26,6,0),"Not Found!!")</f>
        <v>3.8</v>
      </c>
      <c r="AO38" s="2" t="s">
        <v>43</v>
      </c>
    </row>
    <row r="39" spans="1:41" x14ac:dyDescent="0.3">
      <c r="A39" s="2" t="s">
        <v>112</v>
      </c>
      <c r="B39" s="3">
        <v>46047</v>
      </c>
      <c r="C39" s="2" t="s">
        <v>113</v>
      </c>
      <c r="D39" s="2" t="s">
        <v>69</v>
      </c>
      <c r="E39" s="2">
        <v>5</v>
      </c>
      <c r="F39" s="2">
        <v>65000</v>
      </c>
      <c r="G39" s="2">
        <v>0.08</v>
      </c>
      <c r="H39" s="2" t="s">
        <v>19</v>
      </c>
      <c r="I39" s="2" t="s">
        <v>26</v>
      </c>
      <c r="J39" s="2" t="s">
        <v>15</v>
      </c>
      <c r="K39" s="8">
        <f t="shared" si="0"/>
        <v>325000</v>
      </c>
      <c r="L39" s="10">
        <f t="shared" si="1"/>
        <v>26000</v>
      </c>
      <c r="M39" s="13">
        <f t="shared" si="2"/>
        <v>299000</v>
      </c>
      <c r="N39" s="15" t="str">
        <f t="shared" si="3"/>
        <v>High Value</v>
      </c>
      <c r="O39" s="17" t="str">
        <f t="shared" si="4"/>
        <v>Medium</v>
      </c>
      <c r="P39" s="2" t="str">
        <f t="shared" si="5"/>
        <v>029</v>
      </c>
      <c r="Q39" s="2" t="str">
        <f t="shared" si="6"/>
        <v>103</v>
      </c>
      <c r="R39" s="2" t="str">
        <f t="shared" si="7"/>
        <v>Priya</v>
      </c>
      <c r="S39" s="2" t="str">
        <f t="shared" si="8"/>
        <v>West</v>
      </c>
      <c r="T39" s="2" t="str">
        <f>IFERROR(VLOOKUP(D39,Product_Reference!$A$1:$F$26,2,0),"Not Found!!")</f>
        <v>Smartphone X</v>
      </c>
      <c r="U39" s="2" t="str">
        <f>IFERROR(VLOOKUP(D39,Product_Reference!$A$1:$F$26,3,0),"Not Found!!")</f>
        <v>Electronics</v>
      </c>
      <c r="V39" s="2" t="str">
        <f>IFERROR(VLOOKUP(D39,Product_Reference!$A$1:$F$26,4,0),"Not Found!!")</f>
        <v>MobileMax</v>
      </c>
      <c r="W39" s="2" t="str">
        <f>IFERROR(VLOOKUP(D39,Product_Reference!$A$1:$F$26,5,0),"Not Found!!")</f>
        <v>ABC Ltd</v>
      </c>
      <c r="X39" s="2">
        <f>IFERROR(VLOOKUP(D39,Product_Reference!$A$1:$F$26,6,0),"Not Found!!")</f>
        <v>4.5999999999999996</v>
      </c>
      <c r="AA39" s="6" t="s">
        <v>337</v>
      </c>
      <c r="AB39" s="2">
        <f>COUNTIFS(E2:E151,"&gt;=3",G2:G151,"&gt;=10%")</f>
        <v>40</v>
      </c>
      <c r="AO39" s="2" t="s">
        <v>46</v>
      </c>
    </row>
    <row r="40" spans="1:41" x14ac:dyDescent="0.3">
      <c r="A40" s="2" t="s">
        <v>114</v>
      </c>
      <c r="B40" s="3">
        <v>46102</v>
      </c>
      <c r="C40" s="2" t="s">
        <v>115</v>
      </c>
      <c r="D40" s="2" t="s">
        <v>78</v>
      </c>
      <c r="E40" s="2">
        <v>3</v>
      </c>
      <c r="F40" s="2">
        <v>1200</v>
      </c>
      <c r="G40" s="2">
        <v>0.08</v>
      </c>
      <c r="H40" s="2" t="s">
        <v>19</v>
      </c>
      <c r="I40" s="2" t="s">
        <v>20</v>
      </c>
      <c r="J40" s="2" t="s">
        <v>31</v>
      </c>
      <c r="K40" s="8">
        <f t="shared" si="0"/>
        <v>3600</v>
      </c>
      <c r="L40" s="10">
        <f t="shared" si="1"/>
        <v>288</v>
      </c>
      <c r="M40" s="13">
        <f t="shared" si="2"/>
        <v>3312</v>
      </c>
      <c r="N40" s="15" t="str">
        <f t="shared" si="3"/>
        <v>Low Value</v>
      </c>
      <c r="O40" s="17" t="str">
        <f t="shared" si="4"/>
        <v>Medium</v>
      </c>
      <c r="P40" s="2" t="str">
        <f t="shared" si="5"/>
        <v>041</v>
      </c>
      <c r="Q40" s="2" t="str">
        <f t="shared" si="6"/>
        <v>102</v>
      </c>
      <c r="R40" s="2" t="str">
        <f t="shared" si="7"/>
        <v>Rahul</v>
      </c>
      <c r="S40" s="2" t="str">
        <f t="shared" si="8"/>
        <v>South</v>
      </c>
      <c r="T40" s="2" t="str">
        <f>IFERROR(VLOOKUP(D40,Product_Reference!$A$1:$F$26,2,0),"Not Found!!")</f>
        <v>Wireless Mouse</v>
      </c>
      <c r="U40" s="2" t="str">
        <f>IFERROR(VLOOKUP(D40,Product_Reference!$A$1:$F$26,3,0),"Not Found!!")</f>
        <v>Accessories</v>
      </c>
      <c r="V40" s="2" t="str">
        <f>IFERROR(VLOOKUP(D40,Product_Reference!$A$1:$F$26,4,0),"Not Found!!")</f>
        <v>ClickTech</v>
      </c>
      <c r="W40" s="2" t="str">
        <f>IFERROR(VLOOKUP(D40,Product_Reference!$A$1:$F$26,5,0),"Not Found!!")</f>
        <v>XYZ Ltd</v>
      </c>
      <c r="X40" s="2">
        <f>IFERROR(VLOOKUP(D40,Product_Reference!$A$1:$F$26,6,0),"Not Found!!")</f>
        <v>4.2</v>
      </c>
      <c r="AO40" s="2" t="s">
        <v>49</v>
      </c>
    </row>
    <row r="41" spans="1:41" x14ac:dyDescent="0.3">
      <c r="A41" s="2" t="s">
        <v>116</v>
      </c>
      <c r="B41" s="3">
        <v>46042</v>
      </c>
      <c r="C41" s="2" t="s">
        <v>117</v>
      </c>
      <c r="D41" s="2" t="s">
        <v>43</v>
      </c>
      <c r="E41" s="2">
        <v>2</v>
      </c>
      <c r="F41" s="2">
        <v>2500</v>
      </c>
      <c r="G41" s="2">
        <v>0.2</v>
      </c>
      <c r="H41" s="2" t="s">
        <v>35</v>
      </c>
      <c r="I41" s="2" t="s">
        <v>36</v>
      </c>
      <c r="J41" s="2" t="s">
        <v>21</v>
      </c>
      <c r="K41" s="8">
        <f t="shared" si="0"/>
        <v>5000</v>
      </c>
      <c r="L41" s="10">
        <f t="shared" si="1"/>
        <v>1000</v>
      </c>
      <c r="M41" s="13">
        <f t="shared" si="2"/>
        <v>4000</v>
      </c>
      <c r="N41" s="15" t="str">
        <f t="shared" si="3"/>
        <v>Low Value</v>
      </c>
      <c r="O41" s="17" t="str">
        <f t="shared" si="4"/>
        <v>Medium</v>
      </c>
      <c r="P41" s="2" t="str">
        <f t="shared" si="5"/>
        <v>056</v>
      </c>
      <c r="Q41" s="2" t="str">
        <f t="shared" si="6"/>
        <v>114</v>
      </c>
      <c r="R41" s="2" t="str">
        <f t="shared" si="7"/>
        <v>Amit</v>
      </c>
      <c r="S41" s="2" t="str">
        <f t="shared" si="8"/>
        <v>North</v>
      </c>
      <c r="T41" s="2" t="str">
        <f>IFERROR(VLOOKUP(D41,Product_Reference!$A$1:$F$26,2,0),"Not Found!!")</f>
        <v>Power Bank 20000mAh</v>
      </c>
      <c r="U41" s="2" t="str">
        <f>IFERROR(VLOOKUP(D41,Product_Reference!$A$1:$F$26,3,0),"Not Found!!")</f>
        <v>Accessories</v>
      </c>
      <c r="V41" s="2" t="str">
        <f>IFERROR(VLOOKUP(D41,Product_Reference!$A$1:$F$26,4,0),"Not Found!!")</f>
        <v>PowerPlus</v>
      </c>
      <c r="W41" s="2" t="str">
        <f>IFERROR(VLOOKUP(D41,Product_Reference!$A$1:$F$26,5,0),"Not Found!!")</f>
        <v>PQR Ltd</v>
      </c>
      <c r="X41" s="2">
        <f>IFERROR(VLOOKUP(D41,Product_Reference!$A$1:$F$26,6,0),"Not Found!!")</f>
        <v>4.0999999999999996</v>
      </c>
      <c r="AA41" t="s">
        <v>344</v>
      </c>
      <c r="AO41" s="2" t="s">
        <v>55</v>
      </c>
    </row>
    <row r="42" spans="1:41" x14ac:dyDescent="0.3">
      <c r="A42" s="2" t="s">
        <v>118</v>
      </c>
      <c r="B42" s="3">
        <v>46098</v>
      </c>
      <c r="C42" s="2" t="s">
        <v>119</v>
      </c>
      <c r="D42" s="2" t="s">
        <v>107</v>
      </c>
      <c r="E42" s="2">
        <v>1</v>
      </c>
      <c r="F42" s="2">
        <v>1800</v>
      </c>
      <c r="G42" s="2">
        <v>0.2</v>
      </c>
      <c r="H42" s="2" t="s">
        <v>19</v>
      </c>
      <c r="I42" s="2" t="s">
        <v>36</v>
      </c>
      <c r="J42" s="2" t="s">
        <v>50</v>
      </c>
      <c r="K42" s="8">
        <f t="shared" si="0"/>
        <v>1800</v>
      </c>
      <c r="L42" s="10">
        <f t="shared" si="1"/>
        <v>360</v>
      </c>
      <c r="M42" s="13">
        <f t="shared" si="2"/>
        <v>1440</v>
      </c>
      <c r="N42" s="15" t="str">
        <f t="shared" si="3"/>
        <v>Low Value</v>
      </c>
      <c r="O42" s="17" t="str">
        <f t="shared" si="4"/>
        <v>Medium</v>
      </c>
      <c r="P42" s="2" t="str">
        <f t="shared" si="5"/>
        <v>059</v>
      </c>
      <c r="Q42" s="2" t="str">
        <f t="shared" si="6"/>
        <v>117</v>
      </c>
      <c r="R42" s="2" t="str">
        <f t="shared" si="7"/>
        <v>Neha</v>
      </c>
      <c r="S42" s="2" t="str">
        <f t="shared" si="8"/>
        <v>North</v>
      </c>
      <c r="T42" s="2" t="str">
        <f>IFERROR(VLOOKUP(D42,Product_Reference!$A$1:$F$26,2,0),"Not Found!!")</f>
        <v>Laptop Stand</v>
      </c>
      <c r="U42" s="2" t="str">
        <f>IFERROR(VLOOKUP(D42,Product_Reference!$A$1:$F$26,3,0),"Not Found!!")</f>
        <v>Accessories</v>
      </c>
      <c r="V42" s="2" t="str">
        <f>IFERROR(VLOOKUP(D42,Product_Reference!$A$1:$F$26,4,0),"Not Found!!")</f>
        <v>ErgoTech</v>
      </c>
      <c r="W42" s="2" t="str">
        <f>IFERROR(VLOOKUP(D42,Product_Reference!$A$1:$F$26,5,0),"Not Found!!")</f>
        <v>PQR Ltd</v>
      </c>
      <c r="X42" s="2">
        <f>IFERROR(VLOOKUP(D42,Product_Reference!$A$1:$F$26,6,0),"Not Found!!")</f>
        <v>4</v>
      </c>
      <c r="AO42" s="2" t="s">
        <v>58</v>
      </c>
    </row>
    <row r="43" spans="1:41" x14ac:dyDescent="0.3">
      <c r="A43" s="2" t="s">
        <v>120</v>
      </c>
      <c r="B43" s="3">
        <v>46073</v>
      </c>
      <c r="C43" s="2" t="s">
        <v>121</v>
      </c>
      <c r="D43" s="2" t="s">
        <v>43</v>
      </c>
      <c r="E43" s="2">
        <v>3</v>
      </c>
      <c r="F43" s="2">
        <v>2500</v>
      </c>
      <c r="G43" s="2">
        <v>0.15</v>
      </c>
      <c r="H43" s="2" t="s">
        <v>25</v>
      </c>
      <c r="I43" s="2" t="s">
        <v>122</v>
      </c>
      <c r="J43" s="2" t="s">
        <v>15</v>
      </c>
      <c r="K43" s="8">
        <f t="shared" si="0"/>
        <v>7500</v>
      </c>
      <c r="L43" s="10">
        <f t="shared" si="1"/>
        <v>1125</v>
      </c>
      <c r="M43" s="13">
        <f t="shared" si="2"/>
        <v>6375</v>
      </c>
      <c r="N43" s="15" t="str">
        <f t="shared" si="3"/>
        <v>Low Value</v>
      </c>
      <c r="O43" s="17" t="str">
        <f t="shared" si="4"/>
        <v>Medium</v>
      </c>
      <c r="P43" s="2" t="str">
        <f t="shared" si="5"/>
        <v>054</v>
      </c>
      <c r="Q43" s="2" t="str">
        <f t="shared" si="6"/>
        <v>114</v>
      </c>
      <c r="R43" s="2" t="str">
        <f t="shared" si="7"/>
        <v>Priya</v>
      </c>
      <c r="S43" s="2" t="str">
        <f t="shared" si="8"/>
        <v>North</v>
      </c>
      <c r="T43" s="2" t="str">
        <f>IFERROR(VLOOKUP(D43,Product_Reference!$A$1:$F$26,2,0),"Not Found!!")</f>
        <v>Power Bank 20000mAh</v>
      </c>
      <c r="U43" s="2" t="str">
        <f>IFERROR(VLOOKUP(D43,Product_Reference!$A$1:$F$26,3,0),"Not Found!!")</f>
        <v>Accessories</v>
      </c>
      <c r="V43" s="2" t="str">
        <f>IFERROR(VLOOKUP(D43,Product_Reference!$A$1:$F$26,4,0),"Not Found!!")</f>
        <v>PowerPlus</v>
      </c>
      <c r="W43" s="2" t="str">
        <f>IFERROR(VLOOKUP(D43,Product_Reference!$A$1:$F$26,5,0),"Not Found!!")</f>
        <v>PQR Ltd</v>
      </c>
      <c r="X43" s="2">
        <f>IFERROR(VLOOKUP(D43,Product_Reference!$A$1:$F$26,6,0),"Not Found!!")</f>
        <v>4.0999999999999996</v>
      </c>
      <c r="AA43" s="6" t="s">
        <v>9</v>
      </c>
      <c r="AB43" s="6" t="s">
        <v>331</v>
      </c>
      <c r="AO43" s="2" t="s">
        <v>60</v>
      </c>
    </row>
    <row r="44" spans="1:41" x14ac:dyDescent="0.3">
      <c r="A44" s="2" t="s">
        <v>123</v>
      </c>
      <c r="B44" s="3">
        <v>46086</v>
      </c>
      <c r="C44" s="2" t="s">
        <v>124</v>
      </c>
      <c r="D44" s="2" t="s">
        <v>30</v>
      </c>
      <c r="E44" s="2">
        <v>1</v>
      </c>
      <c r="F44" s="2">
        <v>30000</v>
      </c>
      <c r="G44" s="2">
        <v>0.1</v>
      </c>
      <c r="H44" s="2" t="s">
        <v>19</v>
      </c>
      <c r="I44" s="2" t="s">
        <v>14</v>
      </c>
      <c r="J44" s="2" t="s">
        <v>21</v>
      </c>
      <c r="K44" s="8">
        <f t="shared" si="0"/>
        <v>30000</v>
      </c>
      <c r="L44" s="10">
        <f t="shared" si="1"/>
        <v>3000</v>
      </c>
      <c r="M44" s="13">
        <f t="shared" si="2"/>
        <v>27000</v>
      </c>
      <c r="N44" s="15" t="str">
        <f t="shared" si="3"/>
        <v>Medium Value</v>
      </c>
      <c r="O44" s="17" t="str">
        <f t="shared" si="4"/>
        <v>Medium</v>
      </c>
      <c r="P44" s="2" t="str">
        <f t="shared" si="5"/>
        <v>033</v>
      </c>
      <c r="Q44" s="2" t="str">
        <f t="shared" si="6"/>
        <v>121</v>
      </c>
      <c r="R44" s="2" t="str">
        <f t="shared" si="7"/>
        <v>Amit</v>
      </c>
      <c r="S44" s="2" t="str">
        <f t="shared" si="8"/>
        <v>East</v>
      </c>
      <c r="T44" s="2" t="str">
        <f>IFERROR(VLOOKUP(D44,Product_Reference!$A$1:$F$26,2,0),"Not Found!!")</f>
        <v>Portable Projector</v>
      </c>
      <c r="U44" s="2" t="str">
        <f>IFERROR(VLOOKUP(D44,Product_Reference!$A$1:$F$26,3,0),"Not Found!!")</f>
        <v>Electronics</v>
      </c>
      <c r="V44" s="2" t="str">
        <f>IFERROR(VLOOKUP(D44,Product_Reference!$A$1:$F$26,4,0),"Not Found!!")</f>
        <v>ViewMax</v>
      </c>
      <c r="W44" s="2" t="str">
        <f>IFERROR(VLOOKUP(D44,Product_Reference!$A$1:$F$26,5,0),"Not Found!!")</f>
        <v>PQR Ltd</v>
      </c>
      <c r="X44" s="2">
        <f>IFERROR(VLOOKUP(D44,Product_Reference!$A$1:$F$26,6,0),"Not Found!!")</f>
        <v>4.0999999999999996</v>
      </c>
      <c r="AA44" s="2" t="s">
        <v>27</v>
      </c>
      <c r="AB44" s="2">
        <f>COUNTIF(R2:R151,AA44)</f>
        <v>26</v>
      </c>
      <c r="AO44" s="2" t="s">
        <v>69</v>
      </c>
    </row>
    <row r="45" spans="1:41" x14ac:dyDescent="0.3">
      <c r="A45" s="2" t="s">
        <v>125</v>
      </c>
      <c r="B45" s="3">
        <v>46071</v>
      </c>
      <c r="C45" s="2" t="s">
        <v>90</v>
      </c>
      <c r="D45" s="2" t="s">
        <v>126</v>
      </c>
      <c r="E45" s="2">
        <v>1</v>
      </c>
      <c r="F45" s="2">
        <v>28000</v>
      </c>
      <c r="G45" s="2">
        <v>0.2</v>
      </c>
      <c r="H45" s="2" t="s">
        <v>25</v>
      </c>
      <c r="I45" s="2" t="s">
        <v>26</v>
      </c>
      <c r="J45" s="2" t="s">
        <v>37</v>
      </c>
      <c r="K45" s="8">
        <f t="shared" si="0"/>
        <v>28000</v>
      </c>
      <c r="L45" s="10">
        <f t="shared" si="1"/>
        <v>5600</v>
      </c>
      <c r="M45" s="13">
        <f t="shared" si="2"/>
        <v>22400</v>
      </c>
      <c r="N45" s="15" t="str">
        <f t="shared" si="3"/>
        <v>Medium Value</v>
      </c>
      <c r="O45" s="17" t="str">
        <f t="shared" si="4"/>
        <v>Medium</v>
      </c>
      <c r="P45" s="2" t="str">
        <f t="shared" si="5"/>
        <v>017</v>
      </c>
      <c r="Q45" s="2" t="str">
        <f t="shared" si="6"/>
        <v>104</v>
      </c>
      <c r="R45" s="2" t="str">
        <f t="shared" si="7"/>
        <v>Karan</v>
      </c>
      <c r="S45" s="2" t="str">
        <f t="shared" si="8"/>
        <v>West</v>
      </c>
      <c r="T45" s="2" t="str">
        <f>IFERROR(VLOOKUP(D45,Product_Reference!$A$1:$F$26,2,0),"Not Found!!")</f>
        <v>Tablet 10</v>
      </c>
      <c r="U45" s="2" t="str">
        <f>IFERROR(VLOOKUP(D45,Product_Reference!$A$1:$F$26,3,0),"Not Found!!")</f>
        <v>Electronics</v>
      </c>
      <c r="V45" s="2" t="str">
        <f>IFERROR(VLOOKUP(D45,Product_Reference!$A$1:$F$26,4,0),"Not Found!!")</f>
        <v>TabWorld</v>
      </c>
      <c r="W45" s="2" t="str">
        <f>IFERROR(VLOOKUP(D45,Product_Reference!$A$1:$F$26,5,0),"Not Found!!")</f>
        <v>PQR Ltd</v>
      </c>
      <c r="X45" s="2">
        <f>IFERROR(VLOOKUP(D45,Product_Reference!$A$1:$F$26,6,0),"Not Found!!")</f>
        <v>4.0999999999999996</v>
      </c>
      <c r="AO45" s="2" t="s">
        <v>74</v>
      </c>
    </row>
    <row r="46" spans="1:41" x14ac:dyDescent="0.3">
      <c r="A46" s="2" t="s">
        <v>127</v>
      </c>
      <c r="B46" s="3">
        <v>46059</v>
      </c>
      <c r="C46" s="2" t="s">
        <v>17</v>
      </c>
      <c r="D46" s="2" t="s">
        <v>43</v>
      </c>
      <c r="E46" s="2">
        <v>2</v>
      </c>
      <c r="F46" s="2">
        <v>2500</v>
      </c>
      <c r="G46" s="2">
        <v>0.15</v>
      </c>
      <c r="H46" s="2" t="s">
        <v>19</v>
      </c>
      <c r="I46" s="2" t="s">
        <v>26</v>
      </c>
      <c r="J46" s="2" t="s">
        <v>37</v>
      </c>
      <c r="K46" s="8">
        <f t="shared" si="0"/>
        <v>5000</v>
      </c>
      <c r="L46" s="10">
        <f t="shared" si="1"/>
        <v>750</v>
      </c>
      <c r="M46" s="13">
        <f t="shared" si="2"/>
        <v>4250</v>
      </c>
      <c r="N46" s="15" t="str">
        <f t="shared" si="3"/>
        <v>Low Value</v>
      </c>
      <c r="O46" s="17" t="str">
        <f t="shared" si="4"/>
        <v>Medium</v>
      </c>
      <c r="P46" s="2" t="str">
        <f t="shared" si="5"/>
        <v>024</v>
      </c>
      <c r="Q46" s="2" t="str">
        <f t="shared" si="6"/>
        <v>114</v>
      </c>
      <c r="R46" s="2" t="str">
        <f t="shared" si="7"/>
        <v>Karan</v>
      </c>
      <c r="S46" s="2" t="str">
        <f t="shared" si="8"/>
        <v>West</v>
      </c>
      <c r="T46" s="2" t="str">
        <f>IFERROR(VLOOKUP(D46,Product_Reference!$A$1:$F$26,2,0),"Not Found!!")</f>
        <v>Power Bank 20000mAh</v>
      </c>
      <c r="U46" s="2" t="str">
        <f>IFERROR(VLOOKUP(D46,Product_Reference!$A$1:$F$26,3,0),"Not Found!!")</f>
        <v>Accessories</v>
      </c>
      <c r="V46" s="2" t="str">
        <f>IFERROR(VLOOKUP(D46,Product_Reference!$A$1:$F$26,4,0),"Not Found!!")</f>
        <v>PowerPlus</v>
      </c>
      <c r="W46" s="2" t="str">
        <f>IFERROR(VLOOKUP(D46,Product_Reference!$A$1:$F$26,5,0),"Not Found!!")</f>
        <v>PQR Ltd</v>
      </c>
      <c r="X46" s="2">
        <f>IFERROR(VLOOKUP(D46,Product_Reference!$A$1:$F$26,6,0),"Not Found!!")</f>
        <v>4.0999999999999996</v>
      </c>
      <c r="AO46" s="2" t="s">
        <v>78</v>
      </c>
    </row>
    <row r="47" spans="1:41" x14ac:dyDescent="0.3">
      <c r="A47" s="2" t="s">
        <v>128</v>
      </c>
      <c r="B47" s="3">
        <v>46085</v>
      </c>
      <c r="C47" s="2" t="s">
        <v>54</v>
      </c>
      <c r="D47" s="2" t="s">
        <v>69</v>
      </c>
      <c r="E47" s="2">
        <v>1</v>
      </c>
      <c r="F47" s="2">
        <v>65000</v>
      </c>
      <c r="G47" s="2">
        <v>0.1</v>
      </c>
      <c r="H47" s="2" t="s">
        <v>19</v>
      </c>
      <c r="I47" s="2" t="s">
        <v>14</v>
      </c>
      <c r="J47" s="2" t="s">
        <v>21</v>
      </c>
      <c r="K47" s="8">
        <f t="shared" si="0"/>
        <v>65000</v>
      </c>
      <c r="L47" s="10">
        <f t="shared" si="1"/>
        <v>6500</v>
      </c>
      <c r="M47" s="13">
        <f t="shared" si="2"/>
        <v>58500</v>
      </c>
      <c r="N47" s="15" t="str">
        <f t="shared" si="3"/>
        <v>High Value</v>
      </c>
      <c r="O47" s="17" t="str">
        <f t="shared" si="4"/>
        <v>Medium</v>
      </c>
      <c r="P47" s="2" t="str">
        <f t="shared" si="5"/>
        <v>021</v>
      </c>
      <c r="Q47" s="2" t="str">
        <f t="shared" si="6"/>
        <v>103</v>
      </c>
      <c r="R47" s="2" t="str">
        <f t="shared" si="7"/>
        <v>Amit</v>
      </c>
      <c r="S47" s="2" t="str">
        <f t="shared" si="8"/>
        <v>East</v>
      </c>
      <c r="T47" s="2" t="str">
        <f>IFERROR(VLOOKUP(D47,Product_Reference!$A$1:$F$26,2,0),"Not Found!!")</f>
        <v>Smartphone X</v>
      </c>
      <c r="U47" s="2" t="str">
        <f>IFERROR(VLOOKUP(D47,Product_Reference!$A$1:$F$26,3,0),"Not Found!!")</f>
        <v>Electronics</v>
      </c>
      <c r="V47" s="2" t="str">
        <f>IFERROR(VLOOKUP(D47,Product_Reference!$A$1:$F$26,4,0),"Not Found!!")</f>
        <v>MobileMax</v>
      </c>
      <c r="W47" s="2" t="str">
        <f>IFERROR(VLOOKUP(D47,Product_Reference!$A$1:$F$26,5,0),"Not Found!!")</f>
        <v>ABC Ltd</v>
      </c>
      <c r="X47" s="2">
        <f>IFERROR(VLOOKUP(D47,Product_Reference!$A$1:$F$26,6,0),"Not Found!!")</f>
        <v>4.5999999999999996</v>
      </c>
      <c r="AO47" s="2" t="s">
        <v>81</v>
      </c>
    </row>
    <row r="48" spans="1:41" x14ac:dyDescent="0.3">
      <c r="A48" s="2" t="s">
        <v>129</v>
      </c>
      <c r="B48" s="3">
        <v>46076</v>
      </c>
      <c r="C48" s="2" t="s">
        <v>130</v>
      </c>
      <c r="D48" s="2" t="s">
        <v>49</v>
      </c>
      <c r="E48" s="2">
        <v>5</v>
      </c>
      <c r="F48" s="2">
        <v>650</v>
      </c>
      <c r="G48" s="2">
        <v>0.05</v>
      </c>
      <c r="H48" s="2" t="s">
        <v>25</v>
      </c>
      <c r="I48" s="2" t="s">
        <v>26</v>
      </c>
      <c r="J48" s="2" t="s">
        <v>15</v>
      </c>
      <c r="K48" s="8">
        <f t="shared" si="0"/>
        <v>3250</v>
      </c>
      <c r="L48" s="10">
        <f t="shared" si="1"/>
        <v>162.5</v>
      </c>
      <c r="M48" s="13">
        <f t="shared" si="2"/>
        <v>3087.5</v>
      </c>
      <c r="N48" s="15" t="str">
        <f t="shared" si="3"/>
        <v>Low Value</v>
      </c>
      <c r="O48" s="17" t="str">
        <f t="shared" si="4"/>
        <v>Medium</v>
      </c>
      <c r="P48" s="2" t="str">
        <f t="shared" si="5"/>
        <v>058</v>
      </c>
      <c r="Q48" s="2" t="str">
        <f t="shared" si="6"/>
        <v>118</v>
      </c>
      <c r="R48" s="2" t="str">
        <f t="shared" si="7"/>
        <v>Priya</v>
      </c>
      <c r="S48" s="2" t="str">
        <f t="shared" si="8"/>
        <v>West</v>
      </c>
      <c r="T48" s="2" t="str">
        <f>IFERROR(VLOOKUP(D48,Product_Reference!$A$1:$F$26,2,0),"Not Found!!")</f>
        <v>Mechanical Pencil Set</v>
      </c>
      <c r="U48" s="2" t="str">
        <f>IFERROR(VLOOKUP(D48,Product_Reference!$A$1:$F$26,3,0),"Not Found!!")</f>
        <v>Stationery</v>
      </c>
      <c r="V48" s="2" t="str">
        <f>IFERROR(VLOOKUP(D48,Product_Reference!$A$1:$F$26,4,0),"Not Found!!")</f>
        <v>WriteWell</v>
      </c>
      <c r="W48" s="2" t="str">
        <f>IFERROR(VLOOKUP(D48,Product_Reference!$A$1:$F$26,5,0),"Not Found!!")</f>
        <v>LMN Ltd</v>
      </c>
      <c r="X48" s="2">
        <f>IFERROR(VLOOKUP(D48,Product_Reference!$A$1:$F$26,6,0),"Not Found!!")</f>
        <v>4.3</v>
      </c>
      <c r="AO48" s="2" t="s">
        <v>83</v>
      </c>
    </row>
    <row r="49" spans="1:41" x14ac:dyDescent="0.3">
      <c r="A49" s="2" t="s">
        <v>131</v>
      </c>
      <c r="B49" s="3">
        <v>46088</v>
      </c>
      <c r="C49" s="2" t="s">
        <v>132</v>
      </c>
      <c r="D49" s="2" t="s">
        <v>46</v>
      </c>
      <c r="E49" s="2">
        <v>3</v>
      </c>
      <c r="F49" s="2">
        <v>42000</v>
      </c>
      <c r="G49" s="2">
        <v>0.18</v>
      </c>
      <c r="H49" s="2" t="s">
        <v>19</v>
      </c>
      <c r="I49" s="2" t="s">
        <v>26</v>
      </c>
      <c r="J49" s="2" t="s">
        <v>31</v>
      </c>
      <c r="K49" s="8">
        <f t="shared" si="0"/>
        <v>126000</v>
      </c>
      <c r="L49" s="10">
        <f t="shared" si="1"/>
        <v>22680</v>
      </c>
      <c r="M49" s="13">
        <f t="shared" si="2"/>
        <v>103320</v>
      </c>
      <c r="N49" s="15" t="str">
        <f t="shared" si="3"/>
        <v>High Value</v>
      </c>
      <c r="O49" s="17" t="str">
        <f t="shared" si="4"/>
        <v>Medium</v>
      </c>
      <c r="P49" s="2" t="str">
        <f t="shared" si="5"/>
        <v>027</v>
      </c>
      <c r="Q49" s="2" t="str">
        <f t="shared" si="6"/>
        <v>115</v>
      </c>
      <c r="R49" s="2" t="str">
        <f t="shared" si="7"/>
        <v>Rahul</v>
      </c>
      <c r="S49" s="2" t="str">
        <f t="shared" si="8"/>
        <v>West</v>
      </c>
      <c r="T49" s="2" t="str">
        <f>IFERROR(VLOOKUP(D49,Product_Reference!$A$1:$F$26,2,0),"Not Found!!")</f>
        <v>Smart TV 43</v>
      </c>
      <c r="U49" s="2" t="str">
        <f>IFERROR(VLOOKUP(D49,Product_Reference!$A$1:$F$26,3,0),"Not Found!!")</f>
        <v>Electronics</v>
      </c>
      <c r="V49" s="2" t="str">
        <f>IFERROR(VLOOKUP(D49,Product_Reference!$A$1:$F$26,4,0),"Not Found!!")</f>
        <v>ViewMax</v>
      </c>
      <c r="W49" s="2" t="str">
        <f>IFERROR(VLOOKUP(D49,Product_Reference!$A$1:$F$26,5,0),"Not Found!!")</f>
        <v>ABC Ltd</v>
      </c>
      <c r="X49" s="2">
        <f>IFERROR(VLOOKUP(D49,Product_Reference!$A$1:$F$26,6,0),"Not Found!!")</f>
        <v>4.5999999999999996</v>
      </c>
      <c r="AO49" s="2" t="s">
        <v>88</v>
      </c>
    </row>
    <row r="50" spans="1:41" x14ac:dyDescent="0.3">
      <c r="A50" s="2" t="s">
        <v>133</v>
      </c>
      <c r="B50" s="3">
        <v>46065</v>
      </c>
      <c r="C50" s="2" t="s">
        <v>121</v>
      </c>
      <c r="D50" s="2" t="s">
        <v>103</v>
      </c>
      <c r="E50" s="2">
        <v>1</v>
      </c>
      <c r="F50" s="2">
        <v>7000</v>
      </c>
      <c r="G50" s="2">
        <v>0</v>
      </c>
      <c r="H50" s="2" t="s">
        <v>19</v>
      </c>
      <c r="I50" s="2" t="s">
        <v>14</v>
      </c>
      <c r="J50" s="2" t="s">
        <v>15</v>
      </c>
      <c r="K50" s="8">
        <f t="shared" si="0"/>
        <v>7000</v>
      </c>
      <c r="L50" s="10">
        <f t="shared" si="1"/>
        <v>0</v>
      </c>
      <c r="M50" s="13">
        <f t="shared" si="2"/>
        <v>7000</v>
      </c>
      <c r="N50" s="15" t="str">
        <f t="shared" si="3"/>
        <v>Low Value</v>
      </c>
      <c r="O50" s="17" t="str">
        <f t="shared" si="4"/>
        <v>Low</v>
      </c>
      <c r="P50" s="2" t="str">
        <f t="shared" si="5"/>
        <v>054</v>
      </c>
      <c r="Q50" s="2" t="str">
        <f t="shared" si="6"/>
        <v>108</v>
      </c>
      <c r="R50" s="2" t="str">
        <f t="shared" si="7"/>
        <v>Priya</v>
      </c>
      <c r="S50" s="2" t="str">
        <f t="shared" si="8"/>
        <v>East</v>
      </c>
      <c r="T50" s="2" t="str">
        <f>IFERROR(VLOOKUP(D50,Product_Reference!$A$1:$F$26,2,0),"Not Found!!")</f>
        <v>Smart Watch</v>
      </c>
      <c r="U50" s="2" t="str">
        <f>IFERROR(VLOOKUP(D50,Product_Reference!$A$1:$F$26,3,0),"Not Found!!")</f>
        <v>Wearables</v>
      </c>
      <c r="V50" s="2" t="str">
        <f>IFERROR(VLOOKUP(D50,Product_Reference!$A$1:$F$26,4,0),"Not Found!!")</f>
        <v>FitTech</v>
      </c>
      <c r="W50" s="2" t="str">
        <f>IFERROR(VLOOKUP(D50,Product_Reference!$A$1:$F$26,5,0),"Not Found!!")</f>
        <v>ABC Ltd</v>
      </c>
      <c r="X50" s="2">
        <f>IFERROR(VLOOKUP(D50,Product_Reference!$A$1:$F$26,6,0),"Not Found!!")</f>
        <v>4</v>
      </c>
      <c r="AO50" s="2" t="s">
        <v>94</v>
      </c>
    </row>
    <row r="51" spans="1:41" x14ac:dyDescent="0.3">
      <c r="A51" s="2" t="s">
        <v>134</v>
      </c>
      <c r="B51" s="3">
        <v>46072</v>
      </c>
      <c r="C51" s="2" t="s">
        <v>102</v>
      </c>
      <c r="D51" s="2" t="s">
        <v>55</v>
      </c>
      <c r="E51" s="2">
        <v>6</v>
      </c>
      <c r="F51" s="2">
        <v>2800</v>
      </c>
      <c r="G51" s="2">
        <v>0.08</v>
      </c>
      <c r="H51" s="2" t="s">
        <v>35</v>
      </c>
      <c r="I51" s="2" t="s">
        <v>20</v>
      </c>
      <c r="J51" s="2" t="s">
        <v>15</v>
      </c>
      <c r="K51" s="8">
        <f t="shared" si="0"/>
        <v>16800</v>
      </c>
      <c r="L51" s="10">
        <f t="shared" si="1"/>
        <v>1344</v>
      </c>
      <c r="M51" s="13">
        <f t="shared" si="2"/>
        <v>15456</v>
      </c>
      <c r="N51" s="15" t="str">
        <f t="shared" si="3"/>
        <v>Low Value</v>
      </c>
      <c r="O51" s="17" t="str">
        <f t="shared" si="4"/>
        <v>Medium</v>
      </c>
      <c r="P51" s="2" t="str">
        <f t="shared" si="5"/>
        <v>025</v>
      </c>
      <c r="Q51" s="2" t="str">
        <f t="shared" si="6"/>
        <v>123</v>
      </c>
      <c r="R51" s="2" t="str">
        <f t="shared" si="7"/>
        <v>Priya</v>
      </c>
      <c r="S51" s="2" t="str">
        <f t="shared" si="8"/>
        <v>South</v>
      </c>
      <c r="T51" s="2" t="str">
        <f>IFERROR(VLOOKUP(D51,Product_Reference!$A$1:$F$26,2,0),"Not Found!!")</f>
        <v>Wi-Fi Range Extender</v>
      </c>
      <c r="U51" s="2" t="str">
        <f>IFERROR(VLOOKUP(D51,Product_Reference!$A$1:$F$26,3,0),"Not Found!!")</f>
        <v>Networking</v>
      </c>
      <c r="V51" s="2" t="str">
        <f>IFERROR(VLOOKUP(D51,Product_Reference!$A$1:$F$26,4,0),"Not Found!!")</f>
        <v>NetLink</v>
      </c>
      <c r="W51" s="2" t="str">
        <f>IFERROR(VLOOKUP(D51,Product_Reference!$A$1:$F$26,5,0),"Not Found!!")</f>
        <v>XYZ Ltd</v>
      </c>
      <c r="X51" s="2">
        <f>IFERROR(VLOOKUP(D51,Product_Reference!$A$1:$F$26,6,0),"Not Found!!")</f>
        <v>4</v>
      </c>
      <c r="AO51" s="2" t="s">
        <v>99</v>
      </c>
    </row>
    <row r="52" spans="1:41" x14ac:dyDescent="0.3">
      <c r="A52" s="2" t="s">
        <v>135</v>
      </c>
      <c r="B52" s="3">
        <v>46067</v>
      </c>
      <c r="C52" s="2" t="s">
        <v>98</v>
      </c>
      <c r="D52" s="2" t="s">
        <v>12</v>
      </c>
      <c r="E52" s="2">
        <v>5</v>
      </c>
      <c r="F52" s="2">
        <v>2200</v>
      </c>
      <c r="G52" s="2">
        <v>0.1</v>
      </c>
      <c r="H52" s="2" t="s">
        <v>35</v>
      </c>
      <c r="I52" s="2" t="s">
        <v>20</v>
      </c>
      <c r="J52" s="2" t="s">
        <v>50</v>
      </c>
      <c r="K52" s="8">
        <f t="shared" si="0"/>
        <v>11000</v>
      </c>
      <c r="L52" s="10">
        <f t="shared" si="1"/>
        <v>1100</v>
      </c>
      <c r="M52" s="13">
        <f t="shared" si="2"/>
        <v>9900</v>
      </c>
      <c r="N52" s="15" t="str">
        <f t="shared" si="3"/>
        <v>Low Value</v>
      </c>
      <c r="O52" s="17" t="str">
        <f t="shared" si="4"/>
        <v>Medium</v>
      </c>
      <c r="P52" s="2" t="str">
        <f t="shared" si="5"/>
        <v>020</v>
      </c>
      <c r="Q52" s="2" t="str">
        <f t="shared" si="6"/>
        <v>107</v>
      </c>
      <c r="R52" s="2" t="str">
        <f t="shared" si="7"/>
        <v>Neha</v>
      </c>
      <c r="S52" s="2" t="str">
        <f t="shared" si="8"/>
        <v>South</v>
      </c>
      <c r="T52" s="2" t="str">
        <f>IFERROR(VLOOKUP(D52,Product_Reference!$A$1:$F$26,2,0),"Not Found!!")</f>
        <v>USB-C Hub</v>
      </c>
      <c r="U52" s="2" t="str">
        <f>IFERROR(VLOOKUP(D52,Product_Reference!$A$1:$F$26,3,0),"Not Found!!")</f>
        <v>Accessories</v>
      </c>
      <c r="V52" s="2" t="str">
        <f>IFERROR(VLOOKUP(D52,Product_Reference!$A$1:$F$26,4,0),"Not Found!!")</f>
        <v>ConnectPro</v>
      </c>
      <c r="W52" s="2" t="str">
        <f>IFERROR(VLOOKUP(D52,Product_Reference!$A$1:$F$26,5,0),"Not Found!!")</f>
        <v>PQR Ltd</v>
      </c>
      <c r="X52" s="2">
        <f>IFERROR(VLOOKUP(D52,Product_Reference!$A$1:$F$26,6,0),"Not Found!!")</f>
        <v>4.3</v>
      </c>
      <c r="AO52" s="2" t="s">
        <v>103</v>
      </c>
    </row>
    <row r="53" spans="1:41" x14ac:dyDescent="0.3">
      <c r="A53" s="2" t="s">
        <v>136</v>
      </c>
      <c r="B53" s="3">
        <v>46037</v>
      </c>
      <c r="C53" s="2" t="s">
        <v>137</v>
      </c>
      <c r="D53" s="2" t="s">
        <v>138</v>
      </c>
      <c r="E53" s="2">
        <v>1</v>
      </c>
      <c r="F53" s="2">
        <v>3000</v>
      </c>
      <c r="G53" s="2">
        <v>0.18</v>
      </c>
      <c r="H53" s="2" t="s">
        <v>35</v>
      </c>
      <c r="I53" s="2" t="s">
        <v>20</v>
      </c>
      <c r="J53" s="2" t="s">
        <v>50</v>
      </c>
      <c r="K53" s="8">
        <f t="shared" si="0"/>
        <v>3000</v>
      </c>
      <c r="L53" s="10">
        <f t="shared" si="1"/>
        <v>540</v>
      </c>
      <c r="M53" s="13">
        <f t="shared" si="2"/>
        <v>2460</v>
      </c>
      <c r="N53" s="15" t="str">
        <f t="shared" si="3"/>
        <v>Low Value</v>
      </c>
      <c r="O53" s="17" t="str">
        <f t="shared" si="4"/>
        <v>Medium</v>
      </c>
      <c r="P53" s="2" t="str">
        <f t="shared" si="5"/>
        <v>028</v>
      </c>
      <c r="Q53" s="2" t="str">
        <f t="shared" si="6"/>
        <v>116</v>
      </c>
      <c r="R53" s="2" t="str">
        <f t="shared" si="7"/>
        <v>Neha</v>
      </c>
      <c r="S53" s="2" t="str">
        <f t="shared" si="8"/>
        <v>South</v>
      </c>
      <c r="T53" s="2" t="str">
        <f>IFERROR(VLOOKUP(D53,Product_Reference!$A$1:$F$26,2,0),"Not Found!!")</f>
        <v>Fitness Band</v>
      </c>
      <c r="U53" s="2" t="str">
        <f>IFERROR(VLOOKUP(D53,Product_Reference!$A$1:$F$26,3,0),"Not Found!!")</f>
        <v>Wearables</v>
      </c>
      <c r="V53" s="2" t="str">
        <f>IFERROR(VLOOKUP(D53,Product_Reference!$A$1:$F$26,4,0),"Not Found!!")</f>
        <v>FitTech</v>
      </c>
      <c r="W53" s="2" t="str">
        <f>IFERROR(VLOOKUP(D53,Product_Reference!$A$1:$F$26,5,0),"Not Found!!")</f>
        <v>XYZ Ltd</v>
      </c>
      <c r="X53" s="2">
        <f>IFERROR(VLOOKUP(D53,Product_Reference!$A$1:$F$26,6,0),"Not Found!!")</f>
        <v>3.7</v>
      </c>
      <c r="AO53" s="2" t="s">
        <v>107</v>
      </c>
    </row>
    <row r="54" spans="1:41" x14ac:dyDescent="0.3">
      <c r="A54" s="2" t="s">
        <v>139</v>
      </c>
      <c r="B54" s="3">
        <v>46085</v>
      </c>
      <c r="C54" s="2" t="s">
        <v>29</v>
      </c>
      <c r="D54" s="2" t="s">
        <v>18</v>
      </c>
      <c r="E54" s="2"/>
      <c r="F54" s="2">
        <v>12500</v>
      </c>
      <c r="G54" s="2">
        <v>0.05</v>
      </c>
      <c r="H54" s="2" t="s">
        <v>35</v>
      </c>
      <c r="I54" s="2" t="s">
        <v>26</v>
      </c>
      <c r="J54" s="2" t="s">
        <v>31</v>
      </c>
      <c r="K54" s="8">
        <f t="shared" si="0"/>
        <v>12500</v>
      </c>
      <c r="L54" s="10">
        <f t="shared" si="1"/>
        <v>625</v>
      </c>
      <c r="M54" s="13">
        <f t="shared" si="2"/>
        <v>11875</v>
      </c>
      <c r="N54" s="15" t="str">
        <f t="shared" si="3"/>
        <v>Low Value</v>
      </c>
      <c r="O54" s="17" t="str">
        <f t="shared" si="4"/>
        <v>Low</v>
      </c>
      <c r="P54" s="2" t="str">
        <f t="shared" si="5"/>
        <v>022</v>
      </c>
      <c r="Q54" s="2" t="str">
        <f t="shared" si="6"/>
        <v>119</v>
      </c>
      <c r="R54" s="2" t="str">
        <f t="shared" si="7"/>
        <v>Rahul</v>
      </c>
      <c r="S54" s="2" t="str">
        <f t="shared" si="8"/>
        <v>West</v>
      </c>
      <c r="T54" s="2" t="str">
        <f>IFERROR(VLOOKUP(D54,Product_Reference!$A$1:$F$26,2,0),"Not Found!!")</f>
        <v>Office Chair</v>
      </c>
      <c r="U54" s="2" t="str">
        <f>IFERROR(VLOOKUP(D54,Product_Reference!$A$1:$F$26,3,0),"Not Found!!")</f>
        <v>Furniture</v>
      </c>
      <c r="V54" s="2" t="str">
        <f>IFERROR(VLOOKUP(D54,Product_Reference!$A$1:$F$26,4,0),"Not Found!!")</f>
        <v>ComfortPro</v>
      </c>
      <c r="W54" s="2" t="str">
        <f>IFERROR(VLOOKUP(D54,Product_Reference!$A$1:$F$26,5,0),"Not Found!!")</f>
        <v>ABC Ltd</v>
      </c>
      <c r="X54" s="2">
        <f>IFERROR(VLOOKUP(D54,Product_Reference!$A$1:$F$26,6,0),"Not Found!!")</f>
        <v>4.2</v>
      </c>
      <c r="AO54" s="2" t="s">
        <v>126</v>
      </c>
    </row>
    <row r="55" spans="1:41" x14ac:dyDescent="0.3">
      <c r="A55" s="2" t="s">
        <v>140</v>
      </c>
      <c r="B55" s="3">
        <v>46037</v>
      </c>
      <c r="C55" s="2" t="s">
        <v>121</v>
      </c>
      <c r="D55" s="2" t="s">
        <v>88</v>
      </c>
      <c r="E55" s="2">
        <v>6</v>
      </c>
      <c r="F55" s="2">
        <v>2200</v>
      </c>
      <c r="G55" s="2">
        <v>0.15</v>
      </c>
      <c r="H55" s="2" t="s">
        <v>35</v>
      </c>
      <c r="I55" s="2" t="s">
        <v>14</v>
      </c>
      <c r="J55" s="2" t="s">
        <v>31</v>
      </c>
      <c r="K55" s="8">
        <f t="shared" si="0"/>
        <v>13200</v>
      </c>
      <c r="L55" s="10">
        <f t="shared" si="1"/>
        <v>1980</v>
      </c>
      <c r="M55" s="13">
        <f t="shared" si="2"/>
        <v>11220</v>
      </c>
      <c r="N55" s="15" t="str">
        <f t="shared" si="3"/>
        <v>Low Value</v>
      </c>
      <c r="O55" s="17" t="str">
        <f t="shared" si="4"/>
        <v>High</v>
      </c>
      <c r="P55" s="2" t="str">
        <f t="shared" si="5"/>
        <v>054</v>
      </c>
      <c r="Q55" s="2" t="str">
        <f t="shared" si="6"/>
        <v>120</v>
      </c>
      <c r="R55" s="2" t="str">
        <f t="shared" si="7"/>
        <v>Rahul</v>
      </c>
      <c r="S55" s="2" t="str">
        <f t="shared" si="8"/>
        <v>East</v>
      </c>
      <c r="T55" s="2" t="str">
        <f>IFERROR(VLOOKUP(D55,Product_Reference!$A$1:$F$26,2,0),"Not Found!!")</f>
        <v>Desk Lamp</v>
      </c>
      <c r="U55" s="2" t="str">
        <f>IFERROR(VLOOKUP(D55,Product_Reference!$A$1:$F$26,3,0),"Not Found!!")</f>
        <v>Furniture</v>
      </c>
      <c r="V55" s="2" t="str">
        <f>IFERROR(VLOOKUP(D55,Product_Reference!$A$1:$F$26,4,0),"Not Found!!")</f>
        <v>BrightHome</v>
      </c>
      <c r="W55" s="2" t="str">
        <f>IFERROR(VLOOKUP(D55,Product_Reference!$A$1:$F$26,5,0),"Not Found!!")</f>
        <v>XYZ Ltd</v>
      </c>
      <c r="X55" s="2">
        <f>IFERROR(VLOOKUP(D55,Product_Reference!$A$1:$F$26,6,0),"Not Found!!")</f>
        <v>3.9</v>
      </c>
      <c r="AO55" s="2" t="s">
        <v>138</v>
      </c>
    </row>
    <row r="56" spans="1:41" x14ac:dyDescent="0.3">
      <c r="A56" s="2" t="s">
        <v>141</v>
      </c>
      <c r="B56" s="3">
        <v>46027</v>
      </c>
      <c r="C56" s="2" t="s">
        <v>39</v>
      </c>
      <c r="D56" s="2" t="s">
        <v>103</v>
      </c>
      <c r="E56" s="2">
        <v>2</v>
      </c>
      <c r="F56" s="2">
        <v>7000</v>
      </c>
      <c r="G56" s="2">
        <v>0.1</v>
      </c>
      <c r="H56" s="2" t="s">
        <v>19</v>
      </c>
      <c r="I56" s="2" t="s">
        <v>14</v>
      </c>
      <c r="J56" s="2" t="s">
        <v>27</v>
      </c>
      <c r="K56" s="8">
        <f t="shared" si="0"/>
        <v>14000</v>
      </c>
      <c r="L56" s="10">
        <f t="shared" si="1"/>
        <v>1400</v>
      </c>
      <c r="M56" s="13">
        <f t="shared" si="2"/>
        <v>12600</v>
      </c>
      <c r="N56" s="15" t="str">
        <f t="shared" si="3"/>
        <v>Low Value</v>
      </c>
      <c r="O56" s="17" t="str">
        <f t="shared" si="4"/>
        <v>Medium</v>
      </c>
      <c r="P56" s="2" t="str">
        <f t="shared" si="5"/>
        <v>039</v>
      </c>
      <c r="Q56" s="2" t="str">
        <f t="shared" si="6"/>
        <v>108</v>
      </c>
      <c r="R56" s="2" t="str">
        <f t="shared" si="7"/>
        <v>Sneha</v>
      </c>
      <c r="S56" s="2" t="str">
        <f t="shared" si="8"/>
        <v>East</v>
      </c>
      <c r="T56" s="2" t="str">
        <f>IFERROR(VLOOKUP(D56,Product_Reference!$A$1:$F$26,2,0),"Not Found!!")</f>
        <v>Smart Watch</v>
      </c>
      <c r="U56" s="2" t="str">
        <f>IFERROR(VLOOKUP(D56,Product_Reference!$A$1:$F$26,3,0),"Not Found!!")</f>
        <v>Wearables</v>
      </c>
      <c r="V56" s="2" t="str">
        <f>IFERROR(VLOOKUP(D56,Product_Reference!$A$1:$F$26,4,0),"Not Found!!")</f>
        <v>FitTech</v>
      </c>
      <c r="W56" s="2" t="str">
        <f>IFERROR(VLOOKUP(D56,Product_Reference!$A$1:$F$26,5,0),"Not Found!!")</f>
        <v>ABC Ltd</v>
      </c>
      <c r="X56" s="2">
        <f>IFERROR(VLOOKUP(D56,Product_Reference!$A$1:$F$26,6,0),"Not Found!!")</f>
        <v>4</v>
      </c>
      <c r="AO56" s="2" t="s">
        <v>146</v>
      </c>
    </row>
    <row r="57" spans="1:41" x14ac:dyDescent="0.3">
      <c r="A57" s="2" t="s">
        <v>142</v>
      </c>
      <c r="B57" s="3">
        <v>46062</v>
      </c>
      <c r="C57" s="2" t="s">
        <v>33</v>
      </c>
      <c r="D57" s="2" t="s">
        <v>46</v>
      </c>
      <c r="E57" s="2">
        <v>1</v>
      </c>
      <c r="F57" s="2">
        <v>42000</v>
      </c>
      <c r="G57" s="2">
        <v>0.18</v>
      </c>
      <c r="H57" s="2" t="s">
        <v>19</v>
      </c>
      <c r="I57" s="2" t="s">
        <v>26</v>
      </c>
      <c r="J57" s="2" t="s">
        <v>27</v>
      </c>
      <c r="K57" s="8">
        <f t="shared" si="0"/>
        <v>42000</v>
      </c>
      <c r="L57" s="10">
        <f t="shared" si="1"/>
        <v>7560</v>
      </c>
      <c r="M57" s="13">
        <f t="shared" si="2"/>
        <v>34440</v>
      </c>
      <c r="N57" s="15" t="str">
        <f t="shared" si="3"/>
        <v>Medium Value</v>
      </c>
      <c r="O57" s="17" t="str">
        <f t="shared" si="4"/>
        <v>Medium</v>
      </c>
      <c r="P57" s="2" t="str">
        <f t="shared" si="5"/>
        <v>052</v>
      </c>
      <c r="Q57" s="2" t="str">
        <f t="shared" si="6"/>
        <v>115</v>
      </c>
      <c r="R57" s="2" t="str">
        <f t="shared" si="7"/>
        <v>Sneha</v>
      </c>
      <c r="S57" s="2" t="str">
        <f t="shared" si="8"/>
        <v>West</v>
      </c>
      <c r="T57" s="2" t="str">
        <f>IFERROR(VLOOKUP(D57,Product_Reference!$A$1:$F$26,2,0),"Not Found!!")</f>
        <v>Smart TV 43</v>
      </c>
      <c r="U57" s="2" t="str">
        <f>IFERROR(VLOOKUP(D57,Product_Reference!$A$1:$F$26,3,0),"Not Found!!")</f>
        <v>Electronics</v>
      </c>
      <c r="V57" s="2" t="str">
        <f>IFERROR(VLOOKUP(D57,Product_Reference!$A$1:$F$26,4,0),"Not Found!!")</f>
        <v>ViewMax</v>
      </c>
      <c r="W57" s="2" t="str">
        <f>IFERROR(VLOOKUP(D57,Product_Reference!$A$1:$F$26,5,0),"Not Found!!")</f>
        <v>ABC Ltd</v>
      </c>
      <c r="X57" s="2">
        <f>IFERROR(VLOOKUP(D57,Product_Reference!$A$1:$F$26,6,0),"Not Found!!")</f>
        <v>4.5999999999999996</v>
      </c>
      <c r="AO57" s="2" t="s">
        <v>199</v>
      </c>
    </row>
    <row r="58" spans="1:41" x14ac:dyDescent="0.3">
      <c r="A58" s="2" t="s">
        <v>143</v>
      </c>
      <c r="B58" s="3">
        <v>46085</v>
      </c>
      <c r="C58" s="2" t="s">
        <v>92</v>
      </c>
      <c r="D58" s="2" t="s">
        <v>34</v>
      </c>
      <c r="E58" s="2">
        <v>1</v>
      </c>
      <c r="F58" s="2">
        <v>9000</v>
      </c>
      <c r="G58" s="2">
        <v>0</v>
      </c>
      <c r="H58" s="2" t="s">
        <v>35</v>
      </c>
      <c r="I58" s="2" t="s">
        <v>36</v>
      </c>
      <c r="J58" s="2" t="s">
        <v>15</v>
      </c>
      <c r="K58" s="8">
        <f t="shared" si="0"/>
        <v>9000</v>
      </c>
      <c r="L58" s="10">
        <f t="shared" si="1"/>
        <v>0</v>
      </c>
      <c r="M58" s="13">
        <f t="shared" si="2"/>
        <v>9000</v>
      </c>
      <c r="N58" s="15" t="str">
        <f t="shared" si="3"/>
        <v>Low Value</v>
      </c>
      <c r="O58" s="17" t="str">
        <f t="shared" si="4"/>
        <v>Low</v>
      </c>
      <c r="P58" s="2" t="str">
        <f t="shared" si="5"/>
        <v>019</v>
      </c>
      <c r="Q58" s="2" t="str">
        <f t="shared" si="6"/>
        <v>110</v>
      </c>
      <c r="R58" s="2" t="str">
        <f t="shared" si="7"/>
        <v>Priya</v>
      </c>
      <c r="S58" s="2" t="str">
        <f t="shared" si="8"/>
        <v>North</v>
      </c>
      <c r="T58" s="2" t="str">
        <f>IFERROR(VLOOKUP(D58,Product_Reference!$A$1:$F$26,2,0),"Not Found!!")</f>
        <v>External SSD 1TB</v>
      </c>
      <c r="U58" s="2" t="str">
        <f>IFERROR(VLOOKUP(D58,Product_Reference!$A$1:$F$26,3,0),"Not Found!!")</f>
        <v>Storage</v>
      </c>
      <c r="V58" s="2" t="str">
        <f>IFERROR(VLOOKUP(D58,Product_Reference!$A$1:$F$26,4,0),"Not Found!!")</f>
        <v>DataDrive</v>
      </c>
      <c r="W58" s="2" t="str">
        <f>IFERROR(VLOOKUP(D58,Product_Reference!$A$1:$F$26,5,0),"Not Found!!")</f>
        <v>PQR Ltd</v>
      </c>
      <c r="X58" s="2">
        <f>IFERROR(VLOOKUP(D58,Product_Reference!$A$1:$F$26,6,0),"Not Found!!")</f>
        <v>4.5</v>
      </c>
      <c r="AO58" s="2" t="s">
        <v>230</v>
      </c>
    </row>
    <row r="59" spans="1:41" x14ac:dyDescent="0.3">
      <c r="A59" s="2" t="s">
        <v>144</v>
      </c>
      <c r="B59" s="3">
        <v>46084</v>
      </c>
      <c r="C59" s="2" t="s">
        <v>145</v>
      </c>
      <c r="D59" s="2" t="s">
        <v>146</v>
      </c>
      <c r="E59" s="2">
        <v>6</v>
      </c>
      <c r="F59" s="2">
        <v>3500</v>
      </c>
      <c r="G59" s="2">
        <v>0.12</v>
      </c>
      <c r="H59" s="2" t="s">
        <v>35</v>
      </c>
      <c r="I59" s="2" t="s">
        <v>20</v>
      </c>
      <c r="J59" s="2" t="s">
        <v>37</v>
      </c>
      <c r="K59" s="8">
        <f t="shared" si="0"/>
        <v>21000</v>
      </c>
      <c r="L59" s="10">
        <f t="shared" si="1"/>
        <v>2520</v>
      </c>
      <c r="M59" s="13">
        <f t="shared" si="2"/>
        <v>18480</v>
      </c>
      <c r="N59" s="15" t="str">
        <f t="shared" si="3"/>
        <v>Low Value</v>
      </c>
      <c r="O59" s="17" t="str">
        <f t="shared" si="4"/>
        <v>Medium</v>
      </c>
      <c r="P59" s="2" t="str">
        <f t="shared" si="5"/>
        <v>023</v>
      </c>
      <c r="Q59" s="2" t="str">
        <f t="shared" si="6"/>
        <v>105</v>
      </c>
      <c r="R59" s="2" t="str">
        <f t="shared" si="7"/>
        <v>Karan</v>
      </c>
      <c r="S59" s="2" t="str">
        <f t="shared" si="8"/>
        <v>South</v>
      </c>
      <c r="T59" s="2" t="str">
        <f>IFERROR(VLOOKUP(D59,Product_Reference!$A$1:$F$26,2,0),"Not Found!!")</f>
        <v>Mechanical Keyboard</v>
      </c>
      <c r="U59" s="2" t="str">
        <f>IFERROR(VLOOKUP(D59,Product_Reference!$A$1:$F$26,3,0),"Not Found!!")</f>
        <v>Accessories</v>
      </c>
      <c r="V59" s="2" t="str">
        <f>IFERROR(VLOOKUP(D59,Product_Reference!$A$1:$F$26,4,0),"Not Found!!")</f>
        <v>KeyMaster</v>
      </c>
      <c r="W59" s="2" t="str">
        <f>IFERROR(VLOOKUP(D59,Product_Reference!$A$1:$F$26,5,0),"Not Found!!")</f>
        <v>XYZ Ltd</v>
      </c>
      <c r="X59" s="2">
        <f>IFERROR(VLOOKUP(D59,Product_Reference!$A$1:$F$26,6,0),"Not Found!!")</f>
        <v>4.4000000000000004</v>
      </c>
      <c r="AO59" s="2" t="s">
        <v>261</v>
      </c>
    </row>
    <row r="60" spans="1:41" x14ac:dyDescent="0.3">
      <c r="A60" s="2" t="s">
        <v>147</v>
      </c>
      <c r="B60" s="3">
        <v>46023</v>
      </c>
      <c r="C60" s="2" t="s">
        <v>45</v>
      </c>
      <c r="D60" s="2" t="s">
        <v>60</v>
      </c>
      <c r="E60" s="2">
        <v>6</v>
      </c>
      <c r="F60" s="2">
        <v>45000</v>
      </c>
      <c r="G60" s="2">
        <v>0.05</v>
      </c>
      <c r="H60" s="2" t="s">
        <v>19</v>
      </c>
      <c r="I60" s="2" t="s">
        <v>26</v>
      </c>
      <c r="J60" s="2" t="s">
        <v>50</v>
      </c>
      <c r="K60" s="8">
        <f t="shared" si="0"/>
        <v>270000</v>
      </c>
      <c r="L60" s="10">
        <f t="shared" si="1"/>
        <v>13500</v>
      </c>
      <c r="M60" s="13">
        <f t="shared" si="2"/>
        <v>256500</v>
      </c>
      <c r="N60" s="15" t="str">
        <f t="shared" si="3"/>
        <v>High Value</v>
      </c>
      <c r="O60" s="17" t="str">
        <f t="shared" si="4"/>
        <v>Medium</v>
      </c>
      <c r="P60" s="2" t="str">
        <f t="shared" si="5"/>
        <v>047</v>
      </c>
      <c r="Q60" s="2" t="str">
        <f t="shared" si="6"/>
        <v>101</v>
      </c>
      <c r="R60" s="2" t="str">
        <f t="shared" si="7"/>
        <v>Neha</v>
      </c>
      <c r="S60" s="2" t="str">
        <f t="shared" si="8"/>
        <v>West</v>
      </c>
      <c r="T60" s="2" t="str">
        <f>IFERROR(VLOOKUP(D60,Product_Reference!$A$1:$F$26,2,0),"Not Found!!")</f>
        <v>Laptop Pro 14</v>
      </c>
      <c r="U60" s="2" t="str">
        <f>IFERROR(VLOOKUP(D60,Product_Reference!$A$1:$F$26,3,0),"Not Found!!")</f>
        <v>Electronics</v>
      </c>
      <c r="V60" s="2" t="str">
        <f>IFERROR(VLOOKUP(D60,Product_Reference!$A$1:$F$26,4,0),"Not Found!!")</f>
        <v>TechPro</v>
      </c>
      <c r="W60" s="2" t="str">
        <f>IFERROR(VLOOKUP(D60,Product_Reference!$A$1:$F$26,5,0),"Not Found!!")</f>
        <v>ABC Ltd</v>
      </c>
      <c r="X60" s="2">
        <f>IFERROR(VLOOKUP(D60,Product_Reference!$A$1:$F$26,6,0),"Not Found!!")</f>
        <v>4.5</v>
      </c>
    </row>
    <row r="61" spans="1:41" x14ac:dyDescent="0.3">
      <c r="A61" s="2" t="s">
        <v>148</v>
      </c>
      <c r="B61" s="3">
        <v>46023</v>
      </c>
      <c r="C61" s="2" t="s">
        <v>149</v>
      </c>
      <c r="D61" s="2" t="s">
        <v>138</v>
      </c>
      <c r="E61" s="2">
        <v>5</v>
      </c>
      <c r="F61" s="2">
        <v>3000</v>
      </c>
      <c r="G61" s="2">
        <v>0.2</v>
      </c>
      <c r="H61" s="2" t="s">
        <v>35</v>
      </c>
      <c r="I61" s="2" t="s">
        <v>20</v>
      </c>
      <c r="J61" s="2" t="s">
        <v>37</v>
      </c>
      <c r="K61" s="8">
        <f t="shared" si="0"/>
        <v>15000</v>
      </c>
      <c r="L61" s="10">
        <f t="shared" si="1"/>
        <v>3000</v>
      </c>
      <c r="M61" s="13">
        <f t="shared" si="2"/>
        <v>12000</v>
      </c>
      <c r="N61" s="15" t="str">
        <f t="shared" si="3"/>
        <v>Low Value</v>
      </c>
      <c r="O61" s="17" t="str">
        <f t="shared" si="4"/>
        <v>High</v>
      </c>
      <c r="P61" s="2" t="str">
        <f t="shared" si="5"/>
        <v>016</v>
      </c>
      <c r="Q61" s="2" t="str">
        <f t="shared" si="6"/>
        <v>116</v>
      </c>
      <c r="R61" s="2" t="str">
        <f t="shared" si="7"/>
        <v>Karan</v>
      </c>
      <c r="S61" s="2" t="str">
        <f t="shared" si="8"/>
        <v>South</v>
      </c>
      <c r="T61" s="2" t="str">
        <f>IFERROR(VLOOKUP(D61,Product_Reference!$A$1:$F$26,2,0),"Not Found!!")</f>
        <v>Fitness Band</v>
      </c>
      <c r="U61" s="2" t="str">
        <f>IFERROR(VLOOKUP(D61,Product_Reference!$A$1:$F$26,3,0),"Not Found!!")</f>
        <v>Wearables</v>
      </c>
      <c r="V61" s="2" t="str">
        <f>IFERROR(VLOOKUP(D61,Product_Reference!$A$1:$F$26,4,0),"Not Found!!")</f>
        <v>FitTech</v>
      </c>
      <c r="W61" s="2" t="str">
        <f>IFERROR(VLOOKUP(D61,Product_Reference!$A$1:$F$26,5,0),"Not Found!!")</f>
        <v>XYZ Ltd</v>
      </c>
      <c r="X61" s="2">
        <f>IFERROR(VLOOKUP(D61,Product_Reference!$A$1:$F$26,6,0),"Not Found!!")</f>
        <v>3.7</v>
      </c>
    </row>
    <row r="62" spans="1:41" x14ac:dyDescent="0.3">
      <c r="A62" s="2" t="s">
        <v>150</v>
      </c>
      <c r="B62" s="3">
        <v>46098</v>
      </c>
      <c r="C62" s="2" t="s">
        <v>42</v>
      </c>
      <c r="D62" s="2" t="s">
        <v>24</v>
      </c>
      <c r="E62" s="2">
        <v>3</v>
      </c>
      <c r="F62" s="2">
        <v>5500</v>
      </c>
      <c r="G62" s="2">
        <v>0.08</v>
      </c>
      <c r="H62" s="2" t="s">
        <v>19</v>
      </c>
      <c r="I62" s="2" t="s">
        <v>14</v>
      </c>
      <c r="J62" s="2" t="s">
        <v>50</v>
      </c>
      <c r="K62" s="8">
        <f t="shared" si="0"/>
        <v>16500</v>
      </c>
      <c r="L62" s="10">
        <f t="shared" si="1"/>
        <v>1320</v>
      </c>
      <c r="M62" s="13">
        <f t="shared" si="2"/>
        <v>15180</v>
      </c>
      <c r="N62" s="15" t="str">
        <f t="shared" si="3"/>
        <v>Low Value</v>
      </c>
      <c r="O62" s="17" t="str">
        <f t="shared" si="4"/>
        <v>Medium</v>
      </c>
      <c r="P62" s="2" t="str">
        <f t="shared" si="5"/>
        <v>026</v>
      </c>
      <c r="Q62" s="2" t="str">
        <f t="shared" si="6"/>
        <v>122</v>
      </c>
      <c r="R62" s="2" t="str">
        <f t="shared" si="7"/>
        <v>Neha</v>
      </c>
      <c r="S62" s="2" t="str">
        <f t="shared" si="8"/>
        <v>East</v>
      </c>
      <c r="T62" s="2" t="str">
        <f>IFERROR(VLOOKUP(D62,Product_Reference!$A$1:$F$26,2,0),"Not Found!!")</f>
        <v>Router AX1800</v>
      </c>
      <c r="U62" s="2" t="str">
        <f>IFERROR(VLOOKUP(D62,Product_Reference!$A$1:$F$26,3,0),"Not Found!!")</f>
        <v>Networking</v>
      </c>
      <c r="V62" s="2" t="str">
        <f>IFERROR(VLOOKUP(D62,Product_Reference!$A$1:$F$26,4,0),"Not Found!!")</f>
        <v>NetLink</v>
      </c>
      <c r="W62" s="2" t="str">
        <f>IFERROR(VLOOKUP(D62,Product_Reference!$A$1:$F$26,5,0),"Not Found!!")</f>
        <v>ABC Ltd</v>
      </c>
      <c r="X62" s="2">
        <f>IFERROR(VLOOKUP(D62,Product_Reference!$A$1:$F$26,6,0),"Not Found!!")</f>
        <v>4.5</v>
      </c>
    </row>
    <row r="63" spans="1:41" x14ac:dyDescent="0.3">
      <c r="A63" s="2" t="s">
        <v>151</v>
      </c>
      <c r="B63" s="3">
        <v>46084</v>
      </c>
      <c r="C63" s="2" t="s">
        <v>33</v>
      </c>
      <c r="D63" s="2" t="s">
        <v>83</v>
      </c>
      <c r="E63" s="2">
        <v>2</v>
      </c>
      <c r="F63" s="2">
        <v>16000</v>
      </c>
      <c r="G63" s="2">
        <v>0.18</v>
      </c>
      <c r="H63" s="2" t="s">
        <v>19</v>
      </c>
      <c r="I63" s="2" t="s">
        <v>20</v>
      </c>
      <c r="J63" s="2" t="s">
        <v>15</v>
      </c>
      <c r="K63" s="8">
        <f t="shared" si="0"/>
        <v>32000</v>
      </c>
      <c r="L63" s="10">
        <f t="shared" si="1"/>
        <v>5760</v>
      </c>
      <c r="M63" s="13">
        <f t="shared" si="2"/>
        <v>26240</v>
      </c>
      <c r="N63" s="15" t="str">
        <f t="shared" si="3"/>
        <v>Medium Value</v>
      </c>
      <c r="O63" s="17" t="str">
        <f t="shared" si="4"/>
        <v>Medium</v>
      </c>
      <c r="P63" s="2" t="str">
        <f t="shared" si="5"/>
        <v>052</v>
      </c>
      <c r="Q63" s="2" t="str">
        <f t="shared" si="6"/>
        <v>125</v>
      </c>
      <c r="R63" s="2" t="str">
        <f t="shared" si="7"/>
        <v>Priya</v>
      </c>
      <c r="S63" s="2" t="str">
        <f t="shared" si="8"/>
        <v>South</v>
      </c>
      <c r="T63" s="2" t="str">
        <f>IFERROR(VLOOKUP(D63,Product_Reference!$A$1:$F$26,2,0),"Not Found!!")</f>
        <v>Laser Printer</v>
      </c>
      <c r="U63" s="2" t="str">
        <f>IFERROR(VLOOKUP(D63,Product_Reference!$A$1:$F$26,3,0),"Not Found!!")</f>
        <v>Office Equipment</v>
      </c>
      <c r="V63" s="2" t="str">
        <f>IFERROR(VLOOKUP(D63,Product_Reference!$A$1:$F$26,4,0),"Not Found!!")</f>
        <v>PrintPro</v>
      </c>
      <c r="W63" s="2" t="str">
        <f>IFERROR(VLOOKUP(D63,Product_Reference!$A$1:$F$26,5,0),"Not Found!!")</f>
        <v>ABC Ltd</v>
      </c>
      <c r="X63" s="2">
        <f>IFERROR(VLOOKUP(D63,Product_Reference!$A$1:$F$26,6,0),"Not Found!!")</f>
        <v>4.2</v>
      </c>
    </row>
    <row r="64" spans="1:41" x14ac:dyDescent="0.3">
      <c r="A64" s="2" t="s">
        <v>152</v>
      </c>
      <c r="B64" s="3">
        <v>46055</v>
      </c>
      <c r="C64" s="2" t="s">
        <v>153</v>
      </c>
      <c r="D64" s="2" t="s">
        <v>138</v>
      </c>
      <c r="E64" s="2">
        <v>2</v>
      </c>
      <c r="F64" s="2">
        <v>3000</v>
      </c>
      <c r="G64" s="2">
        <v>0.18</v>
      </c>
      <c r="H64" s="2" t="s">
        <v>35</v>
      </c>
      <c r="I64" s="2" t="s">
        <v>26</v>
      </c>
      <c r="J64" s="2" t="s">
        <v>15</v>
      </c>
      <c r="K64" s="8">
        <f t="shared" si="0"/>
        <v>6000</v>
      </c>
      <c r="L64" s="10">
        <f t="shared" si="1"/>
        <v>1080</v>
      </c>
      <c r="M64" s="13">
        <f t="shared" si="2"/>
        <v>4920</v>
      </c>
      <c r="N64" s="15" t="str">
        <f t="shared" si="3"/>
        <v>Low Value</v>
      </c>
      <c r="O64" s="17" t="str">
        <f t="shared" si="4"/>
        <v>Medium</v>
      </c>
      <c r="P64" s="2" t="str">
        <f t="shared" si="5"/>
        <v>030</v>
      </c>
      <c r="Q64" s="2" t="str">
        <f t="shared" si="6"/>
        <v>116</v>
      </c>
      <c r="R64" s="2" t="str">
        <f t="shared" si="7"/>
        <v>Priya</v>
      </c>
      <c r="S64" s="2" t="str">
        <f t="shared" si="8"/>
        <v>West</v>
      </c>
      <c r="T64" s="2" t="str">
        <f>IFERROR(VLOOKUP(D64,Product_Reference!$A$1:$F$26,2,0),"Not Found!!")</f>
        <v>Fitness Band</v>
      </c>
      <c r="U64" s="2" t="str">
        <f>IFERROR(VLOOKUP(D64,Product_Reference!$A$1:$F$26,3,0),"Not Found!!")</f>
        <v>Wearables</v>
      </c>
      <c r="V64" s="2" t="str">
        <f>IFERROR(VLOOKUP(D64,Product_Reference!$A$1:$F$26,4,0),"Not Found!!")</f>
        <v>FitTech</v>
      </c>
      <c r="W64" s="2" t="str">
        <f>IFERROR(VLOOKUP(D64,Product_Reference!$A$1:$F$26,5,0),"Not Found!!")</f>
        <v>XYZ Ltd</v>
      </c>
      <c r="X64" s="2">
        <f>IFERROR(VLOOKUP(D64,Product_Reference!$A$1:$F$26,6,0),"Not Found!!")</f>
        <v>3.7</v>
      </c>
    </row>
    <row r="65" spans="1:24" x14ac:dyDescent="0.3">
      <c r="A65" s="2" t="s">
        <v>154</v>
      </c>
      <c r="B65" s="3">
        <v>46056</v>
      </c>
      <c r="C65" s="2" t="s">
        <v>33</v>
      </c>
      <c r="D65" s="2" t="s">
        <v>24</v>
      </c>
      <c r="E65" s="2">
        <v>2</v>
      </c>
      <c r="F65" s="2">
        <v>5500</v>
      </c>
      <c r="G65" s="2">
        <v>0.1</v>
      </c>
      <c r="H65" s="2" t="s">
        <v>19</v>
      </c>
      <c r="I65" s="2" t="s">
        <v>26</v>
      </c>
      <c r="J65" s="2" t="s">
        <v>21</v>
      </c>
      <c r="K65" s="8">
        <f t="shared" si="0"/>
        <v>11000</v>
      </c>
      <c r="L65" s="10">
        <f t="shared" si="1"/>
        <v>1100</v>
      </c>
      <c r="M65" s="13">
        <f t="shared" si="2"/>
        <v>9900</v>
      </c>
      <c r="N65" s="15" t="str">
        <f t="shared" si="3"/>
        <v>Low Value</v>
      </c>
      <c r="O65" s="17" t="str">
        <f t="shared" si="4"/>
        <v>Medium</v>
      </c>
      <c r="P65" s="2" t="str">
        <f t="shared" si="5"/>
        <v>052</v>
      </c>
      <c r="Q65" s="2" t="str">
        <f t="shared" si="6"/>
        <v>122</v>
      </c>
      <c r="R65" s="2" t="str">
        <f t="shared" si="7"/>
        <v>Amit</v>
      </c>
      <c r="S65" s="2" t="str">
        <f t="shared" si="8"/>
        <v>West</v>
      </c>
      <c r="T65" s="2" t="str">
        <f>IFERROR(VLOOKUP(D65,Product_Reference!$A$1:$F$26,2,0),"Not Found!!")</f>
        <v>Router AX1800</v>
      </c>
      <c r="U65" s="2" t="str">
        <f>IFERROR(VLOOKUP(D65,Product_Reference!$A$1:$F$26,3,0),"Not Found!!")</f>
        <v>Networking</v>
      </c>
      <c r="V65" s="2" t="str">
        <f>IFERROR(VLOOKUP(D65,Product_Reference!$A$1:$F$26,4,0),"Not Found!!")</f>
        <v>NetLink</v>
      </c>
      <c r="W65" s="2" t="str">
        <f>IFERROR(VLOOKUP(D65,Product_Reference!$A$1:$F$26,5,0),"Not Found!!")</f>
        <v>ABC Ltd</v>
      </c>
      <c r="X65" s="2">
        <f>IFERROR(VLOOKUP(D65,Product_Reference!$A$1:$F$26,6,0),"Not Found!!")</f>
        <v>4.5</v>
      </c>
    </row>
    <row r="66" spans="1:24" x14ac:dyDescent="0.3">
      <c r="A66" s="2" t="s">
        <v>155</v>
      </c>
      <c r="B66" s="3">
        <v>46026</v>
      </c>
      <c r="C66" s="2" t="s">
        <v>149</v>
      </c>
      <c r="D66" s="2" t="s">
        <v>60</v>
      </c>
      <c r="E66" s="2">
        <v>4</v>
      </c>
      <c r="F66" s="2">
        <v>45000</v>
      </c>
      <c r="G66" s="2">
        <v>0.12</v>
      </c>
      <c r="H66" s="2" t="s">
        <v>19</v>
      </c>
      <c r="I66" s="2" t="s">
        <v>36</v>
      </c>
      <c r="J66" s="2" t="s">
        <v>15</v>
      </c>
      <c r="K66" s="8">
        <f t="shared" si="0"/>
        <v>180000</v>
      </c>
      <c r="L66" s="10">
        <f t="shared" si="1"/>
        <v>21600</v>
      </c>
      <c r="M66" s="13">
        <f t="shared" si="2"/>
        <v>158400</v>
      </c>
      <c r="N66" s="15" t="str">
        <f t="shared" si="3"/>
        <v>High Value</v>
      </c>
      <c r="O66" s="17" t="str">
        <f t="shared" si="4"/>
        <v>Medium</v>
      </c>
      <c r="P66" s="2" t="str">
        <f t="shared" si="5"/>
        <v>016</v>
      </c>
      <c r="Q66" s="2" t="str">
        <f t="shared" si="6"/>
        <v>101</v>
      </c>
      <c r="R66" s="2" t="str">
        <f t="shared" si="7"/>
        <v>Priya</v>
      </c>
      <c r="S66" s="2" t="str">
        <f t="shared" si="8"/>
        <v>North</v>
      </c>
      <c r="T66" s="2" t="str">
        <f>IFERROR(VLOOKUP(D66,Product_Reference!$A$1:$F$26,2,0),"Not Found!!")</f>
        <v>Laptop Pro 14</v>
      </c>
      <c r="U66" s="2" t="str">
        <f>IFERROR(VLOOKUP(D66,Product_Reference!$A$1:$F$26,3,0),"Not Found!!")</f>
        <v>Electronics</v>
      </c>
      <c r="V66" s="2" t="str">
        <f>IFERROR(VLOOKUP(D66,Product_Reference!$A$1:$F$26,4,0),"Not Found!!")</f>
        <v>TechPro</v>
      </c>
      <c r="W66" s="2" t="str">
        <f>IFERROR(VLOOKUP(D66,Product_Reference!$A$1:$F$26,5,0),"Not Found!!")</f>
        <v>ABC Ltd</v>
      </c>
      <c r="X66" s="2">
        <f>IFERROR(VLOOKUP(D66,Product_Reference!$A$1:$F$26,6,0),"Not Found!!")</f>
        <v>4.5</v>
      </c>
    </row>
    <row r="67" spans="1:24" x14ac:dyDescent="0.3">
      <c r="A67" s="2" t="s">
        <v>156</v>
      </c>
      <c r="B67" s="3">
        <v>46034</v>
      </c>
      <c r="C67" s="2" t="s">
        <v>157</v>
      </c>
      <c r="D67" s="2" t="s">
        <v>107</v>
      </c>
      <c r="E67" s="2">
        <v>2</v>
      </c>
      <c r="F67" s="2">
        <v>1800</v>
      </c>
      <c r="G67" s="2">
        <v>0.2</v>
      </c>
      <c r="H67" s="2" t="s">
        <v>35</v>
      </c>
      <c r="I67" s="2" t="s">
        <v>14</v>
      </c>
      <c r="J67" s="2" t="s">
        <v>31</v>
      </c>
      <c r="K67" s="8">
        <f t="shared" ref="K67:K130" si="9">PRODUCT(E67,F67)</f>
        <v>3600</v>
      </c>
      <c r="L67" s="10">
        <f t="shared" ref="L67:L130" si="10">PRODUCT(K67,G67)</f>
        <v>720</v>
      </c>
      <c r="M67" s="13">
        <f t="shared" ref="M67:M130" si="11">K67-L67</f>
        <v>2880</v>
      </c>
      <c r="N67" s="15" t="str">
        <f t="shared" ref="N67:N130" si="12">IF(M67&gt;=50000,"High Value",IF(M67&gt;=20000,"Medium Value","Low Value"))</f>
        <v>Low Value</v>
      </c>
      <c r="O67" s="17" t="str">
        <f t="shared" ref="O67:O130" si="13">IF(AND(E67&gt;=5,G67&gt;=15%),"High",IF(OR(E67&gt;=3,G67&gt;=10%),"Medium","Low"))</f>
        <v>Medium</v>
      </c>
      <c r="P67" s="2" t="str">
        <f t="shared" ref="P67:P130" si="14">RIGHT(C67,3)</f>
        <v>050</v>
      </c>
      <c r="Q67" s="2" t="str">
        <f t="shared" ref="Q67:Q130" si="15">RIGHT(D67,3)</f>
        <v>117</v>
      </c>
      <c r="R67" s="2" t="str">
        <f t="shared" ref="R67:R130" si="16">PROPER(TRIM(J67))</f>
        <v>Rahul</v>
      </c>
      <c r="S67" s="2" t="str">
        <f t="shared" ref="S67:S130" si="17">TRIM(PROPER(I67))</f>
        <v>East</v>
      </c>
      <c r="T67" s="2" t="str">
        <f>IFERROR(VLOOKUP(D67,Product_Reference!$A$1:$F$26,2,0),"Not Found!!")</f>
        <v>Laptop Stand</v>
      </c>
      <c r="U67" s="2" t="str">
        <f>IFERROR(VLOOKUP(D67,Product_Reference!$A$1:$F$26,3,0),"Not Found!!")</f>
        <v>Accessories</v>
      </c>
      <c r="V67" s="2" t="str">
        <f>IFERROR(VLOOKUP(D67,Product_Reference!$A$1:$F$26,4,0),"Not Found!!")</f>
        <v>ErgoTech</v>
      </c>
      <c r="W67" s="2" t="str">
        <f>IFERROR(VLOOKUP(D67,Product_Reference!$A$1:$F$26,5,0),"Not Found!!")</f>
        <v>PQR Ltd</v>
      </c>
      <c r="X67" s="2">
        <f>IFERROR(VLOOKUP(D67,Product_Reference!$A$1:$F$26,6,0),"Not Found!!")</f>
        <v>4</v>
      </c>
    </row>
    <row r="68" spans="1:24" x14ac:dyDescent="0.3">
      <c r="A68" s="2" t="s">
        <v>158</v>
      </c>
      <c r="B68" s="3">
        <v>46089</v>
      </c>
      <c r="C68" s="2" t="s">
        <v>159</v>
      </c>
      <c r="D68" s="2" t="s">
        <v>18</v>
      </c>
      <c r="E68" s="2">
        <v>2</v>
      </c>
      <c r="F68" s="2">
        <v>12500</v>
      </c>
      <c r="G68" s="2">
        <v>0.1</v>
      </c>
      <c r="H68" s="2" t="s">
        <v>25</v>
      </c>
      <c r="I68" s="2" t="s">
        <v>26</v>
      </c>
      <c r="J68" s="2" t="s">
        <v>21</v>
      </c>
      <c r="K68" s="8">
        <f t="shared" si="9"/>
        <v>25000</v>
      </c>
      <c r="L68" s="10">
        <f t="shared" si="10"/>
        <v>2500</v>
      </c>
      <c r="M68" s="13">
        <f t="shared" si="11"/>
        <v>22500</v>
      </c>
      <c r="N68" s="15" t="str">
        <f t="shared" si="12"/>
        <v>Medium Value</v>
      </c>
      <c r="O68" s="17" t="str">
        <f t="shared" si="13"/>
        <v>Medium</v>
      </c>
      <c r="P68" s="2" t="str">
        <f t="shared" si="14"/>
        <v>001</v>
      </c>
      <c r="Q68" s="2" t="str">
        <f t="shared" si="15"/>
        <v>119</v>
      </c>
      <c r="R68" s="2" t="str">
        <f t="shared" si="16"/>
        <v>Amit</v>
      </c>
      <c r="S68" s="2" t="str">
        <f t="shared" si="17"/>
        <v>West</v>
      </c>
      <c r="T68" s="2" t="str">
        <f>IFERROR(VLOOKUP(D68,Product_Reference!$A$1:$F$26,2,0),"Not Found!!")</f>
        <v>Office Chair</v>
      </c>
      <c r="U68" s="2" t="str">
        <f>IFERROR(VLOOKUP(D68,Product_Reference!$A$1:$F$26,3,0),"Not Found!!")</f>
        <v>Furniture</v>
      </c>
      <c r="V68" s="2" t="str">
        <f>IFERROR(VLOOKUP(D68,Product_Reference!$A$1:$F$26,4,0),"Not Found!!")</f>
        <v>ComfortPro</v>
      </c>
      <c r="W68" s="2" t="str">
        <f>IFERROR(VLOOKUP(D68,Product_Reference!$A$1:$F$26,5,0),"Not Found!!")</f>
        <v>ABC Ltd</v>
      </c>
      <c r="X68" s="2">
        <f>IFERROR(VLOOKUP(D68,Product_Reference!$A$1:$F$26,6,0),"Not Found!!")</f>
        <v>4.2</v>
      </c>
    </row>
    <row r="69" spans="1:24" x14ac:dyDescent="0.3">
      <c r="A69" s="2" t="s">
        <v>160</v>
      </c>
      <c r="B69" s="3">
        <v>46057</v>
      </c>
      <c r="C69" s="2" t="s">
        <v>145</v>
      </c>
      <c r="D69" s="2" t="s">
        <v>81</v>
      </c>
      <c r="E69" s="2">
        <v>1</v>
      </c>
      <c r="F69" s="2">
        <v>3200</v>
      </c>
      <c r="G69" s="2">
        <v>0.12</v>
      </c>
      <c r="H69" s="2" t="s">
        <v>19</v>
      </c>
      <c r="I69" s="2" t="s">
        <v>20</v>
      </c>
      <c r="J69" s="2" t="s">
        <v>161</v>
      </c>
      <c r="K69" s="8">
        <f t="shared" si="9"/>
        <v>3200</v>
      </c>
      <c r="L69" s="10">
        <f t="shared" si="10"/>
        <v>384</v>
      </c>
      <c r="M69" s="13">
        <f t="shared" si="11"/>
        <v>2816</v>
      </c>
      <c r="N69" s="15" t="str">
        <f t="shared" si="12"/>
        <v>Low Value</v>
      </c>
      <c r="O69" s="17" t="str">
        <f t="shared" si="13"/>
        <v>Medium</v>
      </c>
      <c r="P69" s="2" t="str">
        <f t="shared" si="14"/>
        <v>023</v>
      </c>
      <c r="Q69" s="2" t="str">
        <f t="shared" si="15"/>
        <v>112</v>
      </c>
      <c r="R69" s="2" t="str">
        <f t="shared" si="16"/>
        <v>Rahul</v>
      </c>
      <c r="S69" s="2" t="str">
        <f t="shared" si="17"/>
        <v>South</v>
      </c>
      <c r="T69" s="2" t="str">
        <f>IFERROR(VLOOKUP(D69,Product_Reference!$A$1:$F$26,2,0),"Not Found!!")</f>
        <v>Webcam HD</v>
      </c>
      <c r="U69" s="2" t="str">
        <f>IFERROR(VLOOKUP(D69,Product_Reference!$A$1:$F$26,3,0),"Not Found!!")</f>
        <v>Accessories</v>
      </c>
      <c r="V69" s="2" t="str">
        <f>IFERROR(VLOOKUP(D69,Product_Reference!$A$1:$F$26,4,0),"Not Found!!")</f>
        <v>VisionTech</v>
      </c>
      <c r="W69" s="2" t="str">
        <f>IFERROR(VLOOKUP(D69,Product_Reference!$A$1:$F$26,5,0),"Not Found!!")</f>
        <v>ABC Ltd</v>
      </c>
      <c r="X69" s="2">
        <f>IFERROR(VLOOKUP(D69,Product_Reference!$A$1:$F$26,6,0),"Not Found!!")</f>
        <v>3.8</v>
      </c>
    </row>
    <row r="70" spans="1:24" x14ac:dyDescent="0.3">
      <c r="A70" s="2" t="s">
        <v>162</v>
      </c>
      <c r="B70" s="3">
        <v>46056</v>
      </c>
      <c r="C70" s="2" t="s">
        <v>163</v>
      </c>
      <c r="D70" s="2" t="s">
        <v>34</v>
      </c>
      <c r="E70" s="2">
        <v>6</v>
      </c>
      <c r="F70" s="2">
        <v>9000</v>
      </c>
      <c r="G70" s="2">
        <v>0.15</v>
      </c>
      <c r="H70" s="2" t="s">
        <v>19</v>
      </c>
      <c r="I70" s="2" t="s">
        <v>20</v>
      </c>
      <c r="J70" s="2" t="s">
        <v>15</v>
      </c>
      <c r="K70" s="8">
        <f t="shared" si="9"/>
        <v>54000</v>
      </c>
      <c r="L70" s="10">
        <f t="shared" si="10"/>
        <v>8100</v>
      </c>
      <c r="M70" s="13">
        <f t="shared" si="11"/>
        <v>45900</v>
      </c>
      <c r="N70" s="15" t="str">
        <f t="shared" si="12"/>
        <v>Medium Value</v>
      </c>
      <c r="O70" s="17" t="str">
        <f t="shared" si="13"/>
        <v>High</v>
      </c>
      <c r="P70" s="2" t="str">
        <f t="shared" si="14"/>
        <v>051</v>
      </c>
      <c r="Q70" s="2" t="str">
        <f t="shared" si="15"/>
        <v>110</v>
      </c>
      <c r="R70" s="2" t="str">
        <f t="shared" si="16"/>
        <v>Priya</v>
      </c>
      <c r="S70" s="2" t="str">
        <f t="shared" si="17"/>
        <v>South</v>
      </c>
      <c r="T70" s="2" t="str">
        <f>IFERROR(VLOOKUP(D70,Product_Reference!$A$1:$F$26,2,0),"Not Found!!")</f>
        <v>External SSD 1TB</v>
      </c>
      <c r="U70" s="2" t="str">
        <f>IFERROR(VLOOKUP(D70,Product_Reference!$A$1:$F$26,3,0),"Not Found!!")</f>
        <v>Storage</v>
      </c>
      <c r="V70" s="2" t="str">
        <f>IFERROR(VLOOKUP(D70,Product_Reference!$A$1:$F$26,4,0),"Not Found!!")</f>
        <v>DataDrive</v>
      </c>
      <c r="W70" s="2" t="str">
        <f>IFERROR(VLOOKUP(D70,Product_Reference!$A$1:$F$26,5,0),"Not Found!!")</f>
        <v>PQR Ltd</v>
      </c>
      <c r="X70" s="2">
        <f>IFERROR(VLOOKUP(D70,Product_Reference!$A$1:$F$26,6,0),"Not Found!!")</f>
        <v>4.5</v>
      </c>
    </row>
    <row r="71" spans="1:24" x14ac:dyDescent="0.3">
      <c r="A71" s="2" t="s">
        <v>164</v>
      </c>
      <c r="B71" s="3">
        <v>46097</v>
      </c>
      <c r="C71" s="2" t="s">
        <v>113</v>
      </c>
      <c r="D71" s="2" t="s">
        <v>30</v>
      </c>
      <c r="E71" s="2">
        <v>1</v>
      </c>
      <c r="F71" s="2">
        <v>30000</v>
      </c>
      <c r="G71" s="2">
        <v>0.12</v>
      </c>
      <c r="H71" s="2" t="s">
        <v>19</v>
      </c>
      <c r="I71" s="2" t="s">
        <v>14</v>
      </c>
      <c r="J71" s="2" t="s">
        <v>37</v>
      </c>
      <c r="K71" s="8">
        <f t="shared" si="9"/>
        <v>30000</v>
      </c>
      <c r="L71" s="10">
        <f t="shared" si="10"/>
        <v>3600</v>
      </c>
      <c r="M71" s="13">
        <f t="shared" si="11"/>
        <v>26400</v>
      </c>
      <c r="N71" s="15" t="str">
        <f t="shared" si="12"/>
        <v>Medium Value</v>
      </c>
      <c r="O71" s="17" t="str">
        <f t="shared" si="13"/>
        <v>Medium</v>
      </c>
      <c r="P71" s="2" t="str">
        <f t="shared" si="14"/>
        <v>029</v>
      </c>
      <c r="Q71" s="2" t="str">
        <f t="shared" si="15"/>
        <v>121</v>
      </c>
      <c r="R71" s="2" t="str">
        <f t="shared" si="16"/>
        <v>Karan</v>
      </c>
      <c r="S71" s="2" t="str">
        <f t="shared" si="17"/>
        <v>East</v>
      </c>
      <c r="T71" s="2" t="str">
        <f>IFERROR(VLOOKUP(D71,Product_Reference!$A$1:$F$26,2,0),"Not Found!!")</f>
        <v>Portable Projector</v>
      </c>
      <c r="U71" s="2" t="str">
        <f>IFERROR(VLOOKUP(D71,Product_Reference!$A$1:$F$26,3,0),"Not Found!!")</f>
        <v>Electronics</v>
      </c>
      <c r="V71" s="2" t="str">
        <f>IFERROR(VLOOKUP(D71,Product_Reference!$A$1:$F$26,4,0),"Not Found!!")</f>
        <v>ViewMax</v>
      </c>
      <c r="W71" s="2" t="str">
        <f>IFERROR(VLOOKUP(D71,Product_Reference!$A$1:$F$26,5,0),"Not Found!!")</f>
        <v>PQR Ltd</v>
      </c>
      <c r="X71" s="2">
        <f>IFERROR(VLOOKUP(D71,Product_Reference!$A$1:$F$26,6,0),"Not Found!!")</f>
        <v>4.0999999999999996</v>
      </c>
    </row>
    <row r="72" spans="1:24" x14ac:dyDescent="0.3">
      <c r="A72" s="2" t="s">
        <v>165</v>
      </c>
      <c r="B72" s="3">
        <v>46095</v>
      </c>
      <c r="C72" s="2" t="s">
        <v>17</v>
      </c>
      <c r="D72" s="2" t="s">
        <v>83</v>
      </c>
      <c r="E72" s="2">
        <v>2</v>
      </c>
      <c r="F72" s="2">
        <v>16000</v>
      </c>
      <c r="G72" s="2">
        <v>0.05</v>
      </c>
      <c r="H72" s="2" t="s">
        <v>13</v>
      </c>
      <c r="I72" s="2" t="s">
        <v>14</v>
      </c>
      <c r="J72" s="2" t="s">
        <v>21</v>
      </c>
      <c r="K72" s="8">
        <f t="shared" si="9"/>
        <v>32000</v>
      </c>
      <c r="L72" s="10">
        <f t="shared" si="10"/>
        <v>1600</v>
      </c>
      <c r="M72" s="13">
        <f t="shared" si="11"/>
        <v>30400</v>
      </c>
      <c r="N72" s="15" t="str">
        <f t="shared" si="12"/>
        <v>Medium Value</v>
      </c>
      <c r="O72" s="17" t="str">
        <f t="shared" si="13"/>
        <v>Low</v>
      </c>
      <c r="P72" s="2" t="str">
        <f t="shared" si="14"/>
        <v>024</v>
      </c>
      <c r="Q72" s="2" t="str">
        <f t="shared" si="15"/>
        <v>125</v>
      </c>
      <c r="R72" s="2" t="str">
        <f t="shared" si="16"/>
        <v>Amit</v>
      </c>
      <c r="S72" s="2" t="str">
        <f t="shared" si="17"/>
        <v>East</v>
      </c>
      <c r="T72" s="2" t="str">
        <f>IFERROR(VLOOKUP(D72,Product_Reference!$A$1:$F$26,2,0),"Not Found!!")</f>
        <v>Laser Printer</v>
      </c>
      <c r="U72" s="2" t="str">
        <f>IFERROR(VLOOKUP(D72,Product_Reference!$A$1:$F$26,3,0),"Not Found!!")</f>
        <v>Office Equipment</v>
      </c>
      <c r="V72" s="2" t="str">
        <f>IFERROR(VLOOKUP(D72,Product_Reference!$A$1:$F$26,4,0),"Not Found!!")</f>
        <v>PrintPro</v>
      </c>
      <c r="W72" s="2" t="str">
        <f>IFERROR(VLOOKUP(D72,Product_Reference!$A$1:$F$26,5,0),"Not Found!!")</f>
        <v>ABC Ltd</v>
      </c>
      <c r="X72" s="2">
        <f>IFERROR(VLOOKUP(D72,Product_Reference!$A$1:$F$26,6,0),"Not Found!!")</f>
        <v>4.2</v>
      </c>
    </row>
    <row r="73" spans="1:24" x14ac:dyDescent="0.3">
      <c r="A73" s="2" t="s">
        <v>166</v>
      </c>
      <c r="B73" s="3">
        <v>46046</v>
      </c>
      <c r="C73" s="2" t="s">
        <v>145</v>
      </c>
      <c r="D73" s="2" t="s">
        <v>138</v>
      </c>
      <c r="E73" s="2">
        <v>2</v>
      </c>
      <c r="F73" s="2">
        <v>3000</v>
      </c>
      <c r="G73" s="2">
        <v>0.05</v>
      </c>
      <c r="H73" s="2" t="s">
        <v>25</v>
      </c>
      <c r="I73" s="2" t="s">
        <v>14</v>
      </c>
      <c r="J73" s="2" t="s">
        <v>27</v>
      </c>
      <c r="K73" s="8">
        <f t="shared" si="9"/>
        <v>6000</v>
      </c>
      <c r="L73" s="10">
        <f t="shared" si="10"/>
        <v>300</v>
      </c>
      <c r="M73" s="13">
        <f t="shared" si="11"/>
        <v>5700</v>
      </c>
      <c r="N73" s="15" t="str">
        <f t="shared" si="12"/>
        <v>Low Value</v>
      </c>
      <c r="O73" s="17" t="str">
        <f t="shared" si="13"/>
        <v>Low</v>
      </c>
      <c r="P73" s="2" t="str">
        <f t="shared" si="14"/>
        <v>023</v>
      </c>
      <c r="Q73" s="2" t="str">
        <f t="shared" si="15"/>
        <v>116</v>
      </c>
      <c r="R73" s="2" t="str">
        <f t="shared" si="16"/>
        <v>Sneha</v>
      </c>
      <c r="S73" s="2" t="str">
        <f t="shared" si="17"/>
        <v>East</v>
      </c>
      <c r="T73" s="2" t="str">
        <f>IFERROR(VLOOKUP(D73,Product_Reference!$A$1:$F$26,2,0),"Not Found!!")</f>
        <v>Fitness Band</v>
      </c>
      <c r="U73" s="2" t="str">
        <f>IFERROR(VLOOKUP(D73,Product_Reference!$A$1:$F$26,3,0),"Not Found!!")</f>
        <v>Wearables</v>
      </c>
      <c r="V73" s="2" t="str">
        <f>IFERROR(VLOOKUP(D73,Product_Reference!$A$1:$F$26,4,0),"Not Found!!")</f>
        <v>FitTech</v>
      </c>
      <c r="W73" s="2" t="str">
        <f>IFERROR(VLOOKUP(D73,Product_Reference!$A$1:$F$26,5,0),"Not Found!!")</f>
        <v>XYZ Ltd</v>
      </c>
      <c r="X73" s="2">
        <f>IFERROR(VLOOKUP(D73,Product_Reference!$A$1:$F$26,6,0),"Not Found!!")</f>
        <v>3.7</v>
      </c>
    </row>
    <row r="74" spans="1:24" x14ac:dyDescent="0.3">
      <c r="A74" s="2" t="s">
        <v>167</v>
      </c>
      <c r="B74" s="3">
        <v>46045</v>
      </c>
      <c r="C74" s="2" t="s">
        <v>102</v>
      </c>
      <c r="D74" s="2" t="s">
        <v>107</v>
      </c>
      <c r="E74" s="2">
        <v>3</v>
      </c>
      <c r="F74" s="2">
        <v>1800</v>
      </c>
      <c r="G74" s="2">
        <v>0.12</v>
      </c>
      <c r="H74" s="2" t="s">
        <v>19</v>
      </c>
      <c r="I74" s="2" t="s">
        <v>26</v>
      </c>
      <c r="J74" s="2" t="s">
        <v>31</v>
      </c>
      <c r="K74" s="8">
        <f t="shared" si="9"/>
        <v>5400</v>
      </c>
      <c r="L74" s="10">
        <f t="shared" si="10"/>
        <v>648</v>
      </c>
      <c r="M74" s="13">
        <f t="shared" si="11"/>
        <v>4752</v>
      </c>
      <c r="N74" s="15" t="str">
        <f t="shared" si="12"/>
        <v>Low Value</v>
      </c>
      <c r="O74" s="17" t="str">
        <f t="shared" si="13"/>
        <v>Medium</v>
      </c>
      <c r="P74" s="2" t="str">
        <f t="shared" si="14"/>
        <v>025</v>
      </c>
      <c r="Q74" s="2" t="str">
        <f t="shared" si="15"/>
        <v>117</v>
      </c>
      <c r="R74" s="2" t="str">
        <f t="shared" si="16"/>
        <v>Rahul</v>
      </c>
      <c r="S74" s="2" t="str">
        <f t="shared" si="17"/>
        <v>West</v>
      </c>
      <c r="T74" s="2" t="str">
        <f>IFERROR(VLOOKUP(D74,Product_Reference!$A$1:$F$26,2,0),"Not Found!!")</f>
        <v>Laptop Stand</v>
      </c>
      <c r="U74" s="2" t="str">
        <f>IFERROR(VLOOKUP(D74,Product_Reference!$A$1:$F$26,3,0),"Not Found!!")</f>
        <v>Accessories</v>
      </c>
      <c r="V74" s="2" t="str">
        <f>IFERROR(VLOOKUP(D74,Product_Reference!$A$1:$F$26,4,0),"Not Found!!")</f>
        <v>ErgoTech</v>
      </c>
      <c r="W74" s="2" t="str">
        <f>IFERROR(VLOOKUP(D74,Product_Reference!$A$1:$F$26,5,0),"Not Found!!")</f>
        <v>PQR Ltd</v>
      </c>
      <c r="X74" s="2">
        <f>IFERROR(VLOOKUP(D74,Product_Reference!$A$1:$F$26,6,0),"Not Found!!")</f>
        <v>4</v>
      </c>
    </row>
    <row r="75" spans="1:24" x14ac:dyDescent="0.3">
      <c r="A75" s="2" t="s">
        <v>168</v>
      </c>
      <c r="B75" s="3">
        <v>46111</v>
      </c>
      <c r="C75" s="2" t="s">
        <v>169</v>
      </c>
      <c r="D75" s="2" t="s">
        <v>107</v>
      </c>
      <c r="E75" s="2">
        <v>2</v>
      </c>
      <c r="F75" s="2">
        <v>1800</v>
      </c>
      <c r="G75" s="2">
        <v>0.2</v>
      </c>
      <c r="H75" s="2" t="s">
        <v>19</v>
      </c>
      <c r="I75" s="2" t="s">
        <v>36</v>
      </c>
      <c r="J75" s="2" t="s">
        <v>31</v>
      </c>
      <c r="K75" s="8">
        <f t="shared" si="9"/>
        <v>3600</v>
      </c>
      <c r="L75" s="10">
        <f t="shared" si="10"/>
        <v>720</v>
      </c>
      <c r="M75" s="13">
        <f t="shared" si="11"/>
        <v>2880</v>
      </c>
      <c r="N75" s="15" t="str">
        <f t="shared" si="12"/>
        <v>Low Value</v>
      </c>
      <c r="O75" s="17" t="str">
        <f t="shared" si="13"/>
        <v>Medium</v>
      </c>
      <c r="P75" s="2" t="str">
        <f t="shared" si="14"/>
        <v xml:space="preserve">22 </v>
      </c>
      <c r="Q75" s="2" t="str">
        <f t="shared" si="15"/>
        <v>117</v>
      </c>
      <c r="R75" s="2" t="str">
        <f t="shared" si="16"/>
        <v>Rahul</v>
      </c>
      <c r="S75" s="2" t="str">
        <f t="shared" si="17"/>
        <v>North</v>
      </c>
      <c r="T75" s="2" t="str">
        <f>IFERROR(VLOOKUP(D75,Product_Reference!$A$1:$F$26,2,0),"Not Found!!")</f>
        <v>Laptop Stand</v>
      </c>
      <c r="U75" s="2" t="str">
        <f>IFERROR(VLOOKUP(D75,Product_Reference!$A$1:$F$26,3,0),"Not Found!!")</f>
        <v>Accessories</v>
      </c>
      <c r="V75" s="2" t="str">
        <f>IFERROR(VLOOKUP(D75,Product_Reference!$A$1:$F$26,4,0),"Not Found!!")</f>
        <v>ErgoTech</v>
      </c>
      <c r="W75" s="2" t="str">
        <f>IFERROR(VLOOKUP(D75,Product_Reference!$A$1:$F$26,5,0),"Not Found!!")</f>
        <v>PQR Ltd</v>
      </c>
      <c r="X75" s="2">
        <f>IFERROR(VLOOKUP(D75,Product_Reference!$A$1:$F$26,6,0),"Not Found!!")</f>
        <v>4</v>
      </c>
    </row>
    <row r="76" spans="1:24" x14ac:dyDescent="0.3">
      <c r="A76" s="2" t="s">
        <v>170</v>
      </c>
      <c r="B76" s="3">
        <v>46098</v>
      </c>
      <c r="C76" s="2" t="s">
        <v>171</v>
      </c>
      <c r="D76" s="2" t="s">
        <v>126</v>
      </c>
      <c r="E76" s="2">
        <v>5</v>
      </c>
      <c r="F76" s="2">
        <v>28000</v>
      </c>
      <c r="G76" s="2">
        <v>0.08</v>
      </c>
      <c r="H76" s="2" t="s">
        <v>19</v>
      </c>
      <c r="I76" s="2" t="s">
        <v>26</v>
      </c>
      <c r="J76" s="2" t="s">
        <v>27</v>
      </c>
      <c r="K76" s="8">
        <f t="shared" si="9"/>
        <v>140000</v>
      </c>
      <c r="L76" s="10">
        <f t="shared" si="10"/>
        <v>11200</v>
      </c>
      <c r="M76" s="13">
        <f t="shared" si="11"/>
        <v>128800</v>
      </c>
      <c r="N76" s="15" t="str">
        <f t="shared" si="12"/>
        <v>High Value</v>
      </c>
      <c r="O76" s="17" t="str">
        <f t="shared" si="13"/>
        <v>Medium</v>
      </c>
      <c r="P76" s="2" t="str">
        <f t="shared" si="14"/>
        <v>009</v>
      </c>
      <c r="Q76" s="2" t="str">
        <f t="shared" si="15"/>
        <v>104</v>
      </c>
      <c r="R76" s="2" t="str">
        <f t="shared" si="16"/>
        <v>Sneha</v>
      </c>
      <c r="S76" s="2" t="str">
        <f t="shared" si="17"/>
        <v>West</v>
      </c>
      <c r="T76" s="2" t="str">
        <f>IFERROR(VLOOKUP(D76,Product_Reference!$A$1:$F$26,2,0),"Not Found!!")</f>
        <v>Tablet 10</v>
      </c>
      <c r="U76" s="2" t="str">
        <f>IFERROR(VLOOKUP(D76,Product_Reference!$A$1:$F$26,3,0),"Not Found!!")</f>
        <v>Electronics</v>
      </c>
      <c r="V76" s="2" t="str">
        <f>IFERROR(VLOOKUP(D76,Product_Reference!$A$1:$F$26,4,0),"Not Found!!")</f>
        <v>TabWorld</v>
      </c>
      <c r="W76" s="2" t="str">
        <f>IFERROR(VLOOKUP(D76,Product_Reference!$A$1:$F$26,5,0),"Not Found!!")</f>
        <v>PQR Ltd</v>
      </c>
      <c r="X76" s="2">
        <f>IFERROR(VLOOKUP(D76,Product_Reference!$A$1:$F$26,6,0),"Not Found!!")</f>
        <v>4.0999999999999996</v>
      </c>
    </row>
    <row r="77" spans="1:24" x14ac:dyDescent="0.3">
      <c r="A77" s="2" t="s">
        <v>172</v>
      </c>
      <c r="B77" s="3">
        <v>46038</v>
      </c>
      <c r="C77" s="2" t="s">
        <v>173</v>
      </c>
      <c r="D77" s="2" t="s">
        <v>18</v>
      </c>
      <c r="E77" s="2">
        <v>6</v>
      </c>
      <c r="F77" s="2">
        <v>12500</v>
      </c>
      <c r="G77" s="2">
        <v>0.18</v>
      </c>
      <c r="H77" s="2" t="s">
        <v>19</v>
      </c>
      <c r="I77" s="2" t="s">
        <v>20</v>
      </c>
      <c r="J77" s="2" t="s">
        <v>31</v>
      </c>
      <c r="K77" s="8">
        <f t="shared" si="9"/>
        <v>75000</v>
      </c>
      <c r="L77" s="10">
        <f t="shared" si="10"/>
        <v>13500</v>
      </c>
      <c r="M77" s="13">
        <f t="shared" si="11"/>
        <v>61500</v>
      </c>
      <c r="N77" s="15" t="str">
        <f t="shared" si="12"/>
        <v>High Value</v>
      </c>
      <c r="O77" s="17" t="str">
        <f t="shared" si="13"/>
        <v>High</v>
      </c>
      <c r="P77" s="2" t="str">
        <f t="shared" si="14"/>
        <v>053</v>
      </c>
      <c r="Q77" s="2" t="str">
        <f t="shared" si="15"/>
        <v>119</v>
      </c>
      <c r="R77" s="2" t="str">
        <f t="shared" si="16"/>
        <v>Rahul</v>
      </c>
      <c r="S77" s="2" t="str">
        <f t="shared" si="17"/>
        <v>South</v>
      </c>
      <c r="T77" s="2" t="str">
        <f>IFERROR(VLOOKUP(D77,Product_Reference!$A$1:$F$26,2,0),"Not Found!!")</f>
        <v>Office Chair</v>
      </c>
      <c r="U77" s="2" t="str">
        <f>IFERROR(VLOOKUP(D77,Product_Reference!$A$1:$F$26,3,0),"Not Found!!")</f>
        <v>Furniture</v>
      </c>
      <c r="V77" s="2" t="str">
        <f>IFERROR(VLOOKUP(D77,Product_Reference!$A$1:$F$26,4,0),"Not Found!!")</f>
        <v>ComfortPro</v>
      </c>
      <c r="W77" s="2" t="str">
        <f>IFERROR(VLOOKUP(D77,Product_Reference!$A$1:$F$26,5,0),"Not Found!!")</f>
        <v>ABC Ltd</v>
      </c>
      <c r="X77" s="2">
        <f>IFERROR(VLOOKUP(D77,Product_Reference!$A$1:$F$26,6,0),"Not Found!!")</f>
        <v>4.2</v>
      </c>
    </row>
    <row r="78" spans="1:24" x14ac:dyDescent="0.3">
      <c r="A78" s="2" t="s">
        <v>174</v>
      </c>
      <c r="B78" s="3">
        <v>46075</v>
      </c>
      <c r="C78" s="2" t="s">
        <v>145</v>
      </c>
      <c r="D78" s="2" t="s">
        <v>88</v>
      </c>
      <c r="E78" s="2">
        <v>2</v>
      </c>
      <c r="F78" s="2">
        <v>2200</v>
      </c>
      <c r="G78" s="2">
        <v>0.1</v>
      </c>
      <c r="H78" s="2" t="s">
        <v>13</v>
      </c>
      <c r="I78" s="2" t="s">
        <v>36</v>
      </c>
      <c r="J78" s="2" t="s">
        <v>37</v>
      </c>
      <c r="K78" s="8">
        <f t="shared" si="9"/>
        <v>4400</v>
      </c>
      <c r="L78" s="10">
        <f t="shared" si="10"/>
        <v>440</v>
      </c>
      <c r="M78" s="13">
        <f t="shared" si="11"/>
        <v>3960</v>
      </c>
      <c r="N78" s="15" t="str">
        <f t="shared" si="12"/>
        <v>Low Value</v>
      </c>
      <c r="O78" s="17" t="str">
        <f t="shared" si="13"/>
        <v>Medium</v>
      </c>
      <c r="P78" s="2" t="str">
        <f t="shared" si="14"/>
        <v>023</v>
      </c>
      <c r="Q78" s="2" t="str">
        <f t="shared" si="15"/>
        <v>120</v>
      </c>
      <c r="R78" s="2" t="str">
        <f t="shared" si="16"/>
        <v>Karan</v>
      </c>
      <c r="S78" s="2" t="str">
        <f t="shared" si="17"/>
        <v>North</v>
      </c>
      <c r="T78" s="2" t="str">
        <f>IFERROR(VLOOKUP(D78,Product_Reference!$A$1:$F$26,2,0),"Not Found!!")</f>
        <v>Desk Lamp</v>
      </c>
      <c r="U78" s="2" t="str">
        <f>IFERROR(VLOOKUP(D78,Product_Reference!$A$1:$F$26,3,0),"Not Found!!")</f>
        <v>Furniture</v>
      </c>
      <c r="V78" s="2" t="str">
        <f>IFERROR(VLOOKUP(D78,Product_Reference!$A$1:$F$26,4,0),"Not Found!!")</f>
        <v>BrightHome</v>
      </c>
      <c r="W78" s="2" t="str">
        <f>IFERROR(VLOOKUP(D78,Product_Reference!$A$1:$F$26,5,0),"Not Found!!")</f>
        <v>XYZ Ltd</v>
      </c>
      <c r="X78" s="2">
        <f>IFERROR(VLOOKUP(D78,Product_Reference!$A$1:$F$26,6,0),"Not Found!!")</f>
        <v>3.9</v>
      </c>
    </row>
    <row r="79" spans="1:24" x14ac:dyDescent="0.3">
      <c r="A79" s="2" t="s">
        <v>175</v>
      </c>
      <c r="B79" s="3">
        <v>46061</v>
      </c>
      <c r="C79" s="2" t="s">
        <v>68</v>
      </c>
      <c r="D79" s="2" t="s">
        <v>30</v>
      </c>
      <c r="E79" s="2">
        <v>6</v>
      </c>
      <c r="F79" s="2">
        <v>30000</v>
      </c>
      <c r="G79" s="2">
        <v>0.05</v>
      </c>
      <c r="H79" s="2" t="s">
        <v>35</v>
      </c>
      <c r="I79" s="2" t="s">
        <v>14</v>
      </c>
      <c r="J79" s="2" t="s">
        <v>21</v>
      </c>
      <c r="K79" s="8">
        <f t="shared" si="9"/>
        <v>180000</v>
      </c>
      <c r="L79" s="10">
        <f t="shared" si="10"/>
        <v>9000</v>
      </c>
      <c r="M79" s="13">
        <f t="shared" si="11"/>
        <v>171000</v>
      </c>
      <c r="N79" s="15" t="str">
        <f t="shared" si="12"/>
        <v>High Value</v>
      </c>
      <c r="O79" s="17" t="str">
        <f t="shared" si="13"/>
        <v>Medium</v>
      </c>
      <c r="P79" s="2" t="str">
        <f t="shared" si="14"/>
        <v>014</v>
      </c>
      <c r="Q79" s="2" t="str">
        <f t="shared" si="15"/>
        <v>121</v>
      </c>
      <c r="R79" s="2" t="str">
        <f t="shared" si="16"/>
        <v>Amit</v>
      </c>
      <c r="S79" s="2" t="str">
        <f t="shared" si="17"/>
        <v>East</v>
      </c>
      <c r="T79" s="2" t="str">
        <f>IFERROR(VLOOKUP(D79,Product_Reference!$A$1:$F$26,2,0),"Not Found!!")</f>
        <v>Portable Projector</v>
      </c>
      <c r="U79" s="2" t="str">
        <f>IFERROR(VLOOKUP(D79,Product_Reference!$A$1:$F$26,3,0),"Not Found!!")</f>
        <v>Electronics</v>
      </c>
      <c r="V79" s="2" t="str">
        <f>IFERROR(VLOOKUP(D79,Product_Reference!$A$1:$F$26,4,0),"Not Found!!")</f>
        <v>ViewMax</v>
      </c>
      <c r="W79" s="2" t="str">
        <f>IFERROR(VLOOKUP(D79,Product_Reference!$A$1:$F$26,5,0),"Not Found!!")</f>
        <v>PQR Ltd</v>
      </c>
      <c r="X79" s="2">
        <f>IFERROR(VLOOKUP(D79,Product_Reference!$A$1:$F$26,6,0),"Not Found!!")</f>
        <v>4.0999999999999996</v>
      </c>
    </row>
    <row r="80" spans="1:24" x14ac:dyDescent="0.3">
      <c r="A80" s="2" t="s">
        <v>176</v>
      </c>
      <c r="B80" s="3">
        <v>46098</v>
      </c>
      <c r="C80" s="2" t="s">
        <v>171</v>
      </c>
      <c r="D80" s="2" t="s">
        <v>55</v>
      </c>
      <c r="E80" s="2">
        <v>1</v>
      </c>
      <c r="F80" s="2">
        <v>2800</v>
      </c>
      <c r="G80" s="2">
        <v>0.18</v>
      </c>
      <c r="H80" s="2" t="s">
        <v>13</v>
      </c>
      <c r="I80" s="2" t="s">
        <v>20</v>
      </c>
      <c r="J80" s="2" t="s">
        <v>31</v>
      </c>
      <c r="K80" s="8">
        <f t="shared" si="9"/>
        <v>2800</v>
      </c>
      <c r="L80" s="10">
        <f t="shared" si="10"/>
        <v>504</v>
      </c>
      <c r="M80" s="13">
        <f t="shared" si="11"/>
        <v>2296</v>
      </c>
      <c r="N80" s="15" t="str">
        <f t="shared" si="12"/>
        <v>Low Value</v>
      </c>
      <c r="O80" s="17" t="str">
        <f t="shared" si="13"/>
        <v>Medium</v>
      </c>
      <c r="P80" s="2" t="str">
        <f t="shared" si="14"/>
        <v>009</v>
      </c>
      <c r="Q80" s="2" t="str">
        <f t="shared" si="15"/>
        <v>123</v>
      </c>
      <c r="R80" s="2" t="str">
        <f t="shared" si="16"/>
        <v>Rahul</v>
      </c>
      <c r="S80" s="2" t="str">
        <f t="shared" si="17"/>
        <v>South</v>
      </c>
      <c r="T80" s="2" t="str">
        <f>IFERROR(VLOOKUP(D80,Product_Reference!$A$1:$F$26,2,0),"Not Found!!")</f>
        <v>Wi-Fi Range Extender</v>
      </c>
      <c r="U80" s="2" t="str">
        <f>IFERROR(VLOOKUP(D80,Product_Reference!$A$1:$F$26,3,0),"Not Found!!")</f>
        <v>Networking</v>
      </c>
      <c r="V80" s="2" t="str">
        <f>IFERROR(VLOOKUP(D80,Product_Reference!$A$1:$F$26,4,0),"Not Found!!")</f>
        <v>NetLink</v>
      </c>
      <c r="W80" s="2" t="str">
        <f>IFERROR(VLOOKUP(D80,Product_Reference!$A$1:$F$26,5,0),"Not Found!!")</f>
        <v>XYZ Ltd</v>
      </c>
      <c r="X80" s="2">
        <f>IFERROR(VLOOKUP(D80,Product_Reference!$A$1:$F$26,6,0),"Not Found!!")</f>
        <v>4</v>
      </c>
    </row>
    <row r="81" spans="1:24" x14ac:dyDescent="0.3">
      <c r="A81" s="2" t="s">
        <v>177</v>
      </c>
      <c r="B81" s="3">
        <v>46035</v>
      </c>
      <c r="C81" s="2" t="s">
        <v>178</v>
      </c>
      <c r="D81" s="2" t="s">
        <v>94</v>
      </c>
      <c r="E81" s="2">
        <v>3</v>
      </c>
      <c r="F81" s="2">
        <v>4500</v>
      </c>
      <c r="G81" s="2">
        <v>0.15</v>
      </c>
      <c r="H81" s="2" t="s">
        <v>19</v>
      </c>
      <c r="I81" s="2" t="s">
        <v>26</v>
      </c>
      <c r="J81" s="2" t="s">
        <v>21</v>
      </c>
      <c r="K81" s="8">
        <f t="shared" si="9"/>
        <v>13500</v>
      </c>
      <c r="L81" s="10">
        <f t="shared" si="10"/>
        <v>2025</v>
      </c>
      <c r="M81" s="13">
        <f t="shared" si="11"/>
        <v>11475</v>
      </c>
      <c r="N81" s="15" t="str">
        <f t="shared" si="12"/>
        <v>Low Value</v>
      </c>
      <c r="O81" s="17" t="str">
        <f t="shared" si="13"/>
        <v>Medium</v>
      </c>
      <c r="P81" s="2" t="str">
        <f t="shared" si="14"/>
        <v>040</v>
      </c>
      <c r="Q81" s="2" t="str">
        <f t="shared" si="15"/>
        <v>106</v>
      </c>
      <c r="R81" s="2" t="str">
        <f t="shared" si="16"/>
        <v>Amit</v>
      </c>
      <c r="S81" s="2" t="str">
        <f t="shared" si="17"/>
        <v>West</v>
      </c>
      <c r="T81" s="2" t="str">
        <f>IFERROR(VLOOKUP(D81,Product_Reference!$A$1:$F$26,2,0),"Not Found!!")</f>
        <v>Bluetooth Speaker</v>
      </c>
      <c r="U81" s="2" t="str">
        <f>IFERROR(VLOOKUP(D81,Product_Reference!$A$1:$F$26,3,0),"Not Found!!")</f>
        <v>Audio</v>
      </c>
      <c r="V81" s="2" t="str">
        <f>IFERROR(VLOOKUP(D81,Product_Reference!$A$1:$F$26,4,0),"Not Found!!")</f>
        <v>SoundMax</v>
      </c>
      <c r="W81" s="2" t="str">
        <f>IFERROR(VLOOKUP(D81,Product_Reference!$A$1:$F$26,5,0),"Not Found!!")</f>
        <v>LMN Ltd</v>
      </c>
      <c r="X81" s="2">
        <f>IFERROR(VLOOKUP(D81,Product_Reference!$A$1:$F$26,6,0),"Not Found!!")</f>
        <v>3.9</v>
      </c>
    </row>
    <row r="82" spans="1:24" x14ac:dyDescent="0.3">
      <c r="A82" s="2" t="s">
        <v>179</v>
      </c>
      <c r="B82" s="3">
        <v>46059</v>
      </c>
      <c r="C82" s="2" t="s">
        <v>180</v>
      </c>
      <c r="D82" s="2" t="s">
        <v>78</v>
      </c>
      <c r="E82" s="2">
        <v>2</v>
      </c>
      <c r="F82" s="2">
        <v>1200</v>
      </c>
      <c r="G82" s="2">
        <v>0.12</v>
      </c>
      <c r="H82" s="2" t="s">
        <v>25</v>
      </c>
      <c r="I82" s="2" t="s">
        <v>20</v>
      </c>
      <c r="J82" s="2" t="s">
        <v>37</v>
      </c>
      <c r="K82" s="8">
        <f t="shared" si="9"/>
        <v>2400</v>
      </c>
      <c r="L82" s="10">
        <f t="shared" si="10"/>
        <v>288</v>
      </c>
      <c r="M82" s="13">
        <f t="shared" si="11"/>
        <v>2112</v>
      </c>
      <c r="N82" s="15" t="str">
        <f t="shared" si="12"/>
        <v>Low Value</v>
      </c>
      <c r="O82" s="17" t="str">
        <f t="shared" si="13"/>
        <v>Medium</v>
      </c>
      <c r="P82" s="2" t="str">
        <f t="shared" si="14"/>
        <v>038</v>
      </c>
      <c r="Q82" s="2" t="str">
        <f t="shared" si="15"/>
        <v>102</v>
      </c>
      <c r="R82" s="2" t="str">
        <f t="shared" si="16"/>
        <v>Karan</v>
      </c>
      <c r="S82" s="2" t="str">
        <f t="shared" si="17"/>
        <v>South</v>
      </c>
      <c r="T82" s="2" t="str">
        <f>IFERROR(VLOOKUP(D82,Product_Reference!$A$1:$F$26,2,0),"Not Found!!")</f>
        <v>Wireless Mouse</v>
      </c>
      <c r="U82" s="2" t="str">
        <f>IFERROR(VLOOKUP(D82,Product_Reference!$A$1:$F$26,3,0),"Not Found!!")</f>
        <v>Accessories</v>
      </c>
      <c r="V82" s="2" t="str">
        <f>IFERROR(VLOOKUP(D82,Product_Reference!$A$1:$F$26,4,0),"Not Found!!")</f>
        <v>ClickTech</v>
      </c>
      <c r="W82" s="2" t="str">
        <f>IFERROR(VLOOKUP(D82,Product_Reference!$A$1:$F$26,5,0),"Not Found!!")</f>
        <v>XYZ Ltd</v>
      </c>
      <c r="X82" s="2">
        <f>IFERROR(VLOOKUP(D82,Product_Reference!$A$1:$F$26,6,0),"Not Found!!")</f>
        <v>4.2</v>
      </c>
    </row>
    <row r="83" spans="1:24" x14ac:dyDescent="0.3">
      <c r="A83" s="2" t="s">
        <v>181</v>
      </c>
      <c r="B83" s="3">
        <v>46039</v>
      </c>
      <c r="C83" s="2" t="s">
        <v>65</v>
      </c>
      <c r="D83" s="2" t="s">
        <v>60</v>
      </c>
      <c r="E83" s="2">
        <v>3</v>
      </c>
      <c r="F83" s="2">
        <v>45000</v>
      </c>
      <c r="G83" s="2">
        <v>0.1</v>
      </c>
      <c r="H83" s="2" t="s">
        <v>25</v>
      </c>
      <c r="I83" s="2" t="s">
        <v>20</v>
      </c>
      <c r="J83" s="2" t="s">
        <v>27</v>
      </c>
      <c r="K83" s="8">
        <f t="shared" si="9"/>
        <v>135000</v>
      </c>
      <c r="L83" s="10">
        <f t="shared" si="10"/>
        <v>13500</v>
      </c>
      <c r="M83" s="13">
        <f t="shared" si="11"/>
        <v>121500</v>
      </c>
      <c r="N83" s="15" t="str">
        <f t="shared" si="12"/>
        <v>High Value</v>
      </c>
      <c r="O83" s="17" t="str">
        <f t="shared" si="13"/>
        <v>Medium</v>
      </c>
      <c r="P83" s="2" t="str">
        <f t="shared" si="14"/>
        <v>007</v>
      </c>
      <c r="Q83" s="2" t="str">
        <f t="shared" si="15"/>
        <v>101</v>
      </c>
      <c r="R83" s="2" t="str">
        <f t="shared" si="16"/>
        <v>Sneha</v>
      </c>
      <c r="S83" s="2" t="str">
        <f t="shared" si="17"/>
        <v>South</v>
      </c>
      <c r="T83" s="2" t="str">
        <f>IFERROR(VLOOKUP(D83,Product_Reference!$A$1:$F$26,2,0),"Not Found!!")</f>
        <v>Laptop Pro 14</v>
      </c>
      <c r="U83" s="2" t="str">
        <f>IFERROR(VLOOKUP(D83,Product_Reference!$A$1:$F$26,3,0),"Not Found!!")</f>
        <v>Electronics</v>
      </c>
      <c r="V83" s="2" t="str">
        <f>IFERROR(VLOOKUP(D83,Product_Reference!$A$1:$F$26,4,0),"Not Found!!")</f>
        <v>TechPro</v>
      </c>
      <c r="W83" s="2" t="str">
        <f>IFERROR(VLOOKUP(D83,Product_Reference!$A$1:$F$26,5,0),"Not Found!!")</f>
        <v>ABC Ltd</v>
      </c>
      <c r="X83" s="2">
        <f>IFERROR(VLOOKUP(D83,Product_Reference!$A$1:$F$26,6,0),"Not Found!!")</f>
        <v>4.5</v>
      </c>
    </row>
    <row r="84" spans="1:24" x14ac:dyDescent="0.3">
      <c r="A84" s="2" t="s">
        <v>182</v>
      </c>
      <c r="B84" s="3">
        <v>46076</v>
      </c>
      <c r="C84" s="2" t="s">
        <v>39</v>
      </c>
      <c r="D84" s="2" t="s">
        <v>94</v>
      </c>
      <c r="E84" s="2">
        <v>1</v>
      </c>
      <c r="F84" s="2">
        <v>4500</v>
      </c>
      <c r="G84" s="2">
        <v>0.12</v>
      </c>
      <c r="H84" s="2" t="s">
        <v>35</v>
      </c>
      <c r="I84" s="2" t="s">
        <v>26</v>
      </c>
      <c r="J84" s="2" t="s">
        <v>21</v>
      </c>
      <c r="K84" s="8">
        <f t="shared" si="9"/>
        <v>4500</v>
      </c>
      <c r="L84" s="10">
        <f t="shared" si="10"/>
        <v>540</v>
      </c>
      <c r="M84" s="13">
        <f t="shared" si="11"/>
        <v>3960</v>
      </c>
      <c r="N84" s="15" t="str">
        <f t="shared" si="12"/>
        <v>Low Value</v>
      </c>
      <c r="O84" s="17" t="str">
        <f t="shared" si="13"/>
        <v>Medium</v>
      </c>
      <c r="P84" s="2" t="str">
        <f t="shared" si="14"/>
        <v>039</v>
      </c>
      <c r="Q84" s="2" t="str">
        <f t="shared" si="15"/>
        <v>106</v>
      </c>
      <c r="R84" s="2" t="str">
        <f t="shared" si="16"/>
        <v>Amit</v>
      </c>
      <c r="S84" s="2" t="str">
        <f t="shared" si="17"/>
        <v>West</v>
      </c>
      <c r="T84" s="2" t="str">
        <f>IFERROR(VLOOKUP(D84,Product_Reference!$A$1:$F$26,2,0),"Not Found!!")</f>
        <v>Bluetooth Speaker</v>
      </c>
      <c r="U84" s="2" t="str">
        <f>IFERROR(VLOOKUP(D84,Product_Reference!$A$1:$F$26,3,0),"Not Found!!")</f>
        <v>Audio</v>
      </c>
      <c r="V84" s="2" t="str">
        <f>IFERROR(VLOOKUP(D84,Product_Reference!$A$1:$F$26,4,0),"Not Found!!")</f>
        <v>SoundMax</v>
      </c>
      <c r="W84" s="2" t="str">
        <f>IFERROR(VLOOKUP(D84,Product_Reference!$A$1:$F$26,5,0),"Not Found!!")</f>
        <v>LMN Ltd</v>
      </c>
      <c r="X84" s="2">
        <f>IFERROR(VLOOKUP(D84,Product_Reference!$A$1:$F$26,6,0),"Not Found!!")</f>
        <v>3.9</v>
      </c>
    </row>
    <row r="85" spans="1:24" x14ac:dyDescent="0.3">
      <c r="A85" s="2" t="s">
        <v>183</v>
      </c>
      <c r="B85" s="3">
        <v>46035</v>
      </c>
      <c r="C85" s="2" t="s">
        <v>157</v>
      </c>
      <c r="D85" s="2" t="s">
        <v>12</v>
      </c>
      <c r="E85" s="2">
        <v>1</v>
      </c>
      <c r="F85" s="2">
        <v>2200</v>
      </c>
      <c r="G85" s="2">
        <v>0.12</v>
      </c>
      <c r="H85" s="2" t="s">
        <v>35</v>
      </c>
      <c r="I85" s="2" t="s">
        <v>26</v>
      </c>
      <c r="J85" s="2" t="s">
        <v>184</v>
      </c>
      <c r="K85" s="8">
        <f t="shared" si="9"/>
        <v>2200</v>
      </c>
      <c r="L85" s="10">
        <f t="shared" si="10"/>
        <v>264</v>
      </c>
      <c r="M85" s="13">
        <f t="shared" si="11"/>
        <v>1936</v>
      </c>
      <c r="N85" s="15" t="str">
        <f t="shared" si="12"/>
        <v>Low Value</v>
      </c>
      <c r="O85" s="17" t="str">
        <f t="shared" si="13"/>
        <v>Medium</v>
      </c>
      <c r="P85" s="2" t="str">
        <f t="shared" si="14"/>
        <v>050</v>
      </c>
      <c r="Q85" s="2" t="str">
        <f t="shared" si="15"/>
        <v>107</v>
      </c>
      <c r="R85" s="2" t="str">
        <f t="shared" si="16"/>
        <v>Priya</v>
      </c>
      <c r="S85" s="2" t="str">
        <f t="shared" si="17"/>
        <v>West</v>
      </c>
      <c r="T85" s="2" t="str">
        <f>IFERROR(VLOOKUP(D85,Product_Reference!$A$1:$F$26,2,0),"Not Found!!")</f>
        <v>USB-C Hub</v>
      </c>
      <c r="U85" s="2" t="str">
        <f>IFERROR(VLOOKUP(D85,Product_Reference!$A$1:$F$26,3,0),"Not Found!!")</f>
        <v>Accessories</v>
      </c>
      <c r="V85" s="2" t="str">
        <f>IFERROR(VLOOKUP(D85,Product_Reference!$A$1:$F$26,4,0),"Not Found!!")</f>
        <v>ConnectPro</v>
      </c>
      <c r="W85" s="2" t="str">
        <f>IFERROR(VLOOKUP(D85,Product_Reference!$A$1:$F$26,5,0),"Not Found!!")</f>
        <v>PQR Ltd</v>
      </c>
      <c r="X85" s="2">
        <f>IFERROR(VLOOKUP(D85,Product_Reference!$A$1:$F$26,6,0),"Not Found!!")</f>
        <v>4.3</v>
      </c>
    </row>
    <row r="86" spans="1:24" x14ac:dyDescent="0.3">
      <c r="A86" s="2" t="s">
        <v>185</v>
      </c>
      <c r="B86" s="3">
        <v>46023</v>
      </c>
      <c r="C86" s="2" t="s">
        <v>186</v>
      </c>
      <c r="D86" s="2" t="s">
        <v>103</v>
      </c>
      <c r="E86" s="2">
        <v>5</v>
      </c>
      <c r="F86" s="2">
        <v>7000</v>
      </c>
      <c r="G86" s="2">
        <v>0.18</v>
      </c>
      <c r="H86" s="2" t="s">
        <v>35</v>
      </c>
      <c r="I86" s="2" t="s">
        <v>26</v>
      </c>
      <c r="J86" s="2" t="s">
        <v>31</v>
      </c>
      <c r="K86" s="8">
        <f t="shared" si="9"/>
        <v>35000</v>
      </c>
      <c r="L86" s="10">
        <f t="shared" si="10"/>
        <v>6300</v>
      </c>
      <c r="M86" s="13">
        <f t="shared" si="11"/>
        <v>28700</v>
      </c>
      <c r="N86" s="15" t="str">
        <f t="shared" si="12"/>
        <v>Medium Value</v>
      </c>
      <c r="O86" s="17" t="str">
        <f t="shared" si="13"/>
        <v>High</v>
      </c>
      <c r="P86" s="2" t="str">
        <f t="shared" si="14"/>
        <v>003</v>
      </c>
      <c r="Q86" s="2" t="str">
        <f t="shared" si="15"/>
        <v>108</v>
      </c>
      <c r="R86" s="2" t="str">
        <f t="shared" si="16"/>
        <v>Rahul</v>
      </c>
      <c r="S86" s="2" t="str">
        <f t="shared" si="17"/>
        <v>West</v>
      </c>
      <c r="T86" s="2" t="str">
        <f>IFERROR(VLOOKUP(D86,Product_Reference!$A$1:$F$26,2,0),"Not Found!!")</f>
        <v>Smart Watch</v>
      </c>
      <c r="U86" s="2" t="str">
        <f>IFERROR(VLOOKUP(D86,Product_Reference!$A$1:$F$26,3,0),"Not Found!!")</f>
        <v>Wearables</v>
      </c>
      <c r="V86" s="2" t="str">
        <f>IFERROR(VLOOKUP(D86,Product_Reference!$A$1:$F$26,4,0),"Not Found!!")</f>
        <v>FitTech</v>
      </c>
      <c r="W86" s="2" t="str">
        <f>IFERROR(VLOOKUP(D86,Product_Reference!$A$1:$F$26,5,0),"Not Found!!")</f>
        <v>ABC Ltd</v>
      </c>
      <c r="X86" s="2">
        <f>IFERROR(VLOOKUP(D86,Product_Reference!$A$1:$F$26,6,0),"Not Found!!")</f>
        <v>4</v>
      </c>
    </row>
    <row r="87" spans="1:24" x14ac:dyDescent="0.3">
      <c r="A87" s="2" t="s">
        <v>187</v>
      </c>
      <c r="B87" s="3">
        <v>46055</v>
      </c>
      <c r="C87" s="2" t="s">
        <v>180</v>
      </c>
      <c r="D87" s="2" t="s">
        <v>107</v>
      </c>
      <c r="E87" s="2">
        <v>5</v>
      </c>
      <c r="F87" s="2">
        <v>1800</v>
      </c>
      <c r="G87" s="2">
        <v>0.2</v>
      </c>
      <c r="H87" s="2" t="s">
        <v>35</v>
      </c>
      <c r="I87" s="2" t="s">
        <v>26</v>
      </c>
      <c r="J87" s="2" t="s">
        <v>27</v>
      </c>
      <c r="K87" s="8">
        <f t="shared" si="9"/>
        <v>9000</v>
      </c>
      <c r="L87" s="10">
        <f t="shared" si="10"/>
        <v>1800</v>
      </c>
      <c r="M87" s="13">
        <f t="shared" si="11"/>
        <v>7200</v>
      </c>
      <c r="N87" s="15" t="str">
        <f t="shared" si="12"/>
        <v>Low Value</v>
      </c>
      <c r="O87" s="17" t="str">
        <f t="shared" si="13"/>
        <v>High</v>
      </c>
      <c r="P87" s="2" t="str">
        <f t="shared" si="14"/>
        <v>038</v>
      </c>
      <c r="Q87" s="2" t="str">
        <f t="shared" si="15"/>
        <v>117</v>
      </c>
      <c r="R87" s="2" t="str">
        <f t="shared" si="16"/>
        <v>Sneha</v>
      </c>
      <c r="S87" s="2" t="str">
        <f t="shared" si="17"/>
        <v>West</v>
      </c>
      <c r="T87" s="2" t="str">
        <f>IFERROR(VLOOKUP(D87,Product_Reference!$A$1:$F$26,2,0),"Not Found!!")</f>
        <v>Laptop Stand</v>
      </c>
      <c r="U87" s="2" t="str">
        <f>IFERROR(VLOOKUP(D87,Product_Reference!$A$1:$F$26,3,0),"Not Found!!")</f>
        <v>Accessories</v>
      </c>
      <c r="V87" s="2" t="str">
        <f>IFERROR(VLOOKUP(D87,Product_Reference!$A$1:$F$26,4,0),"Not Found!!")</f>
        <v>ErgoTech</v>
      </c>
      <c r="W87" s="2" t="str">
        <f>IFERROR(VLOOKUP(D87,Product_Reference!$A$1:$F$26,5,0),"Not Found!!")</f>
        <v>PQR Ltd</v>
      </c>
      <c r="X87" s="2">
        <f>IFERROR(VLOOKUP(D87,Product_Reference!$A$1:$F$26,6,0),"Not Found!!")</f>
        <v>4</v>
      </c>
    </row>
    <row r="88" spans="1:24" x14ac:dyDescent="0.3">
      <c r="A88" s="2" t="s">
        <v>188</v>
      </c>
      <c r="B88" s="3">
        <v>46107</v>
      </c>
      <c r="C88" s="2" t="s">
        <v>80</v>
      </c>
      <c r="D88" s="2" t="s">
        <v>74</v>
      </c>
      <c r="E88" s="2">
        <v>2</v>
      </c>
      <c r="F88" s="2">
        <v>5500</v>
      </c>
      <c r="G88" s="2">
        <v>0.2</v>
      </c>
      <c r="H88" s="2" t="s">
        <v>25</v>
      </c>
      <c r="I88" s="2" t="s">
        <v>20</v>
      </c>
      <c r="J88" s="2" t="s">
        <v>21</v>
      </c>
      <c r="K88" s="8">
        <f t="shared" si="9"/>
        <v>11000</v>
      </c>
      <c r="L88" s="10">
        <f t="shared" si="10"/>
        <v>2200</v>
      </c>
      <c r="M88" s="13">
        <f t="shared" si="11"/>
        <v>8800</v>
      </c>
      <c r="N88" s="15" t="str">
        <f t="shared" si="12"/>
        <v>Low Value</v>
      </c>
      <c r="O88" s="17" t="str">
        <f t="shared" si="13"/>
        <v>Medium</v>
      </c>
      <c r="P88" s="2" t="str">
        <f t="shared" si="14"/>
        <v>011</v>
      </c>
      <c r="Q88" s="2" t="str">
        <f t="shared" si="15"/>
        <v>113</v>
      </c>
      <c r="R88" s="2" t="str">
        <f t="shared" si="16"/>
        <v>Amit</v>
      </c>
      <c r="S88" s="2" t="str">
        <f t="shared" si="17"/>
        <v>South</v>
      </c>
      <c r="T88" s="2" t="str">
        <f>IFERROR(VLOOKUP(D88,Product_Reference!$A$1:$F$26,2,0),"Not Found!!")</f>
        <v>Wireless Earbuds</v>
      </c>
      <c r="U88" s="2" t="str">
        <f>IFERROR(VLOOKUP(D88,Product_Reference!$A$1:$F$26,3,0),"Not Found!!")</f>
        <v>Audio</v>
      </c>
      <c r="V88" s="2" t="str">
        <f>IFERROR(VLOOKUP(D88,Product_Reference!$A$1:$F$26,4,0),"Not Found!!")</f>
        <v>SoundMax</v>
      </c>
      <c r="W88" s="2" t="str">
        <f>IFERROR(VLOOKUP(D88,Product_Reference!$A$1:$F$26,5,0),"Not Found!!")</f>
        <v>LMN Ltd</v>
      </c>
      <c r="X88" s="2">
        <f>IFERROR(VLOOKUP(D88,Product_Reference!$A$1:$F$26,6,0),"Not Found!!")</f>
        <v>4.4000000000000004</v>
      </c>
    </row>
    <row r="89" spans="1:24" x14ac:dyDescent="0.3">
      <c r="A89" s="2" t="s">
        <v>189</v>
      </c>
      <c r="B89" s="3">
        <v>46040</v>
      </c>
      <c r="C89" s="2" t="s">
        <v>45</v>
      </c>
      <c r="D89" s="2" t="s">
        <v>18</v>
      </c>
      <c r="E89" s="2">
        <v>2</v>
      </c>
      <c r="F89" s="2">
        <v>12500</v>
      </c>
      <c r="G89" s="2">
        <v>0</v>
      </c>
      <c r="H89" s="2" t="s">
        <v>35</v>
      </c>
      <c r="I89" s="2" t="s">
        <v>26</v>
      </c>
      <c r="J89" s="2" t="s">
        <v>31</v>
      </c>
      <c r="K89" s="8">
        <f t="shared" si="9"/>
        <v>25000</v>
      </c>
      <c r="L89" s="10">
        <f t="shared" si="10"/>
        <v>0</v>
      </c>
      <c r="M89" s="13">
        <f t="shared" si="11"/>
        <v>25000</v>
      </c>
      <c r="N89" s="15" t="str">
        <f t="shared" si="12"/>
        <v>Medium Value</v>
      </c>
      <c r="O89" s="17" t="str">
        <f t="shared" si="13"/>
        <v>Low</v>
      </c>
      <c r="P89" s="2" t="str">
        <f t="shared" si="14"/>
        <v>047</v>
      </c>
      <c r="Q89" s="2" t="str">
        <f t="shared" si="15"/>
        <v>119</v>
      </c>
      <c r="R89" s="2" t="str">
        <f t="shared" si="16"/>
        <v>Rahul</v>
      </c>
      <c r="S89" s="2" t="str">
        <f t="shared" si="17"/>
        <v>West</v>
      </c>
      <c r="T89" s="2" t="str">
        <f>IFERROR(VLOOKUP(D89,Product_Reference!$A$1:$F$26,2,0),"Not Found!!")</f>
        <v>Office Chair</v>
      </c>
      <c r="U89" s="2" t="str">
        <f>IFERROR(VLOOKUP(D89,Product_Reference!$A$1:$F$26,3,0),"Not Found!!")</f>
        <v>Furniture</v>
      </c>
      <c r="V89" s="2" t="str">
        <f>IFERROR(VLOOKUP(D89,Product_Reference!$A$1:$F$26,4,0),"Not Found!!")</f>
        <v>ComfortPro</v>
      </c>
      <c r="W89" s="2" t="str">
        <f>IFERROR(VLOOKUP(D89,Product_Reference!$A$1:$F$26,5,0),"Not Found!!")</f>
        <v>ABC Ltd</v>
      </c>
      <c r="X89" s="2">
        <f>IFERROR(VLOOKUP(D89,Product_Reference!$A$1:$F$26,6,0),"Not Found!!")</f>
        <v>4.2</v>
      </c>
    </row>
    <row r="90" spans="1:24" x14ac:dyDescent="0.3">
      <c r="A90" s="2" t="s">
        <v>190</v>
      </c>
      <c r="B90" s="3">
        <v>46025</v>
      </c>
      <c r="C90" s="2" t="s">
        <v>149</v>
      </c>
      <c r="D90" s="2" t="s">
        <v>30</v>
      </c>
      <c r="E90" s="2">
        <v>3</v>
      </c>
      <c r="F90" s="2">
        <v>30000</v>
      </c>
      <c r="G90" s="2">
        <v>0.15</v>
      </c>
      <c r="H90" s="2" t="s">
        <v>13</v>
      </c>
      <c r="I90" s="2" t="s">
        <v>36</v>
      </c>
      <c r="J90" s="2" t="s">
        <v>27</v>
      </c>
      <c r="K90" s="8">
        <f t="shared" si="9"/>
        <v>90000</v>
      </c>
      <c r="L90" s="10">
        <f t="shared" si="10"/>
        <v>13500</v>
      </c>
      <c r="M90" s="13">
        <f t="shared" si="11"/>
        <v>76500</v>
      </c>
      <c r="N90" s="15" t="str">
        <f t="shared" si="12"/>
        <v>High Value</v>
      </c>
      <c r="O90" s="17" t="str">
        <f t="shared" si="13"/>
        <v>Medium</v>
      </c>
      <c r="P90" s="2" t="str">
        <f t="shared" si="14"/>
        <v>016</v>
      </c>
      <c r="Q90" s="2" t="str">
        <f t="shared" si="15"/>
        <v>121</v>
      </c>
      <c r="R90" s="2" t="str">
        <f t="shared" si="16"/>
        <v>Sneha</v>
      </c>
      <c r="S90" s="2" t="str">
        <f t="shared" si="17"/>
        <v>North</v>
      </c>
      <c r="T90" s="2" t="str">
        <f>IFERROR(VLOOKUP(D90,Product_Reference!$A$1:$F$26,2,0),"Not Found!!")</f>
        <v>Portable Projector</v>
      </c>
      <c r="U90" s="2" t="str">
        <f>IFERROR(VLOOKUP(D90,Product_Reference!$A$1:$F$26,3,0),"Not Found!!")</f>
        <v>Electronics</v>
      </c>
      <c r="V90" s="2" t="str">
        <f>IFERROR(VLOOKUP(D90,Product_Reference!$A$1:$F$26,4,0),"Not Found!!")</f>
        <v>ViewMax</v>
      </c>
      <c r="W90" s="2" t="str">
        <f>IFERROR(VLOOKUP(D90,Product_Reference!$A$1:$F$26,5,0),"Not Found!!")</f>
        <v>PQR Ltd</v>
      </c>
      <c r="X90" s="2">
        <f>IFERROR(VLOOKUP(D90,Product_Reference!$A$1:$F$26,6,0),"Not Found!!")</f>
        <v>4.0999999999999996</v>
      </c>
    </row>
    <row r="91" spans="1:24" x14ac:dyDescent="0.3">
      <c r="A91" s="2" t="s">
        <v>191</v>
      </c>
      <c r="B91" s="3">
        <v>46098</v>
      </c>
      <c r="C91" s="2" t="s">
        <v>17</v>
      </c>
      <c r="D91" s="2" t="s">
        <v>34</v>
      </c>
      <c r="E91" s="2">
        <v>4</v>
      </c>
      <c r="F91" s="2">
        <v>9000</v>
      </c>
      <c r="G91" s="2">
        <v>0.15</v>
      </c>
      <c r="H91" s="2" t="s">
        <v>35</v>
      </c>
      <c r="I91" s="2" t="s">
        <v>20</v>
      </c>
      <c r="J91" s="2" t="s">
        <v>15</v>
      </c>
      <c r="K91" s="8">
        <f t="shared" si="9"/>
        <v>36000</v>
      </c>
      <c r="L91" s="10">
        <f t="shared" si="10"/>
        <v>5400</v>
      </c>
      <c r="M91" s="13">
        <f t="shared" si="11"/>
        <v>30600</v>
      </c>
      <c r="N91" s="15" t="str">
        <f t="shared" si="12"/>
        <v>Medium Value</v>
      </c>
      <c r="O91" s="17" t="str">
        <f t="shared" si="13"/>
        <v>Medium</v>
      </c>
      <c r="P91" s="2" t="str">
        <f t="shared" si="14"/>
        <v>024</v>
      </c>
      <c r="Q91" s="2" t="str">
        <f t="shared" si="15"/>
        <v>110</v>
      </c>
      <c r="R91" s="2" t="str">
        <f t="shared" si="16"/>
        <v>Priya</v>
      </c>
      <c r="S91" s="2" t="str">
        <f t="shared" si="17"/>
        <v>South</v>
      </c>
      <c r="T91" s="2" t="str">
        <f>IFERROR(VLOOKUP(D91,Product_Reference!$A$1:$F$26,2,0),"Not Found!!")</f>
        <v>External SSD 1TB</v>
      </c>
      <c r="U91" s="2" t="str">
        <f>IFERROR(VLOOKUP(D91,Product_Reference!$A$1:$F$26,3,0),"Not Found!!")</f>
        <v>Storage</v>
      </c>
      <c r="V91" s="2" t="str">
        <f>IFERROR(VLOOKUP(D91,Product_Reference!$A$1:$F$26,4,0),"Not Found!!")</f>
        <v>DataDrive</v>
      </c>
      <c r="W91" s="2" t="str">
        <f>IFERROR(VLOOKUP(D91,Product_Reference!$A$1:$F$26,5,0),"Not Found!!")</f>
        <v>PQR Ltd</v>
      </c>
      <c r="X91" s="2">
        <f>IFERROR(VLOOKUP(D91,Product_Reference!$A$1:$F$26,6,0),"Not Found!!")</f>
        <v>4.5</v>
      </c>
    </row>
    <row r="92" spans="1:24" x14ac:dyDescent="0.3">
      <c r="A92" s="2" t="s">
        <v>192</v>
      </c>
      <c r="B92" s="3">
        <v>46080</v>
      </c>
      <c r="C92" s="2" t="s">
        <v>57</v>
      </c>
      <c r="D92" s="2" t="s">
        <v>126</v>
      </c>
      <c r="E92" s="2">
        <v>6</v>
      </c>
      <c r="F92" s="2">
        <v>28000</v>
      </c>
      <c r="G92" s="2">
        <v>0.2</v>
      </c>
      <c r="H92" s="2" t="s">
        <v>35</v>
      </c>
      <c r="I92" s="2" t="s">
        <v>20</v>
      </c>
      <c r="J92" s="2" t="s">
        <v>37</v>
      </c>
      <c r="K92" s="8">
        <f t="shared" si="9"/>
        <v>168000</v>
      </c>
      <c r="L92" s="10">
        <f t="shared" si="10"/>
        <v>33600</v>
      </c>
      <c r="M92" s="13">
        <f t="shared" si="11"/>
        <v>134400</v>
      </c>
      <c r="N92" s="15" t="str">
        <f t="shared" si="12"/>
        <v>High Value</v>
      </c>
      <c r="O92" s="17" t="str">
        <f t="shared" si="13"/>
        <v>High</v>
      </c>
      <c r="P92" s="2" t="str">
        <f t="shared" si="14"/>
        <v>060</v>
      </c>
      <c r="Q92" s="2" t="str">
        <f t="shared" si="15"/>
        <v>104</v>
      </c>
      <c r="R92" s="2" t="str">
        <f t="shared" si="16"/>
        <v>Karan</v>
      </c>
      <c r="S92" s="2" t="str">
        <f t="shared" si="17"/>
        <v>South</v>
      </c>
      <c r="T92" s="2" t="str">
        <f>IFERROR(VLOOKUP(D92,Product_Reference!$A$1:$F$26,2,0),"Not Found!!")</f>
        <v>Tablet 10</v>
      </c>
      <c r="U92" s="2" t="str">
        <f>IFERROR(VLOOKUP(D92,Product_Reference!$A$1:$F$26,3,0),"Not Found!!")</f>
        <v>Electronics</v>
      </c>
      <c r="V92" s="2" t="str">
        <f>IFERROR(VLOOKUP(D92,Product_Reference!$A$1:$F$26,4,0),"Not Found!!")</f>
        <v>TabWorld</v>
      </c>
      <c r="W92" s="2" t="str">
        <f>IFERROR(VLOOKUP(D92,Product_Reference!$A$1:$F$26,5,0),"Not Found!!")</f>
        <v>PQR Ltd</v>
      </c>
      <c r="X92" s="2">
        <f>IFERROR(VLOOKUP(D92,Product_Reference!$A$1:$F$26,6,0),"Not Found!!")</f>
        <v>4.0999999999999996</v>
      </c>
    </row>
    <row r="93" spans="1:24" x14ac:dyDescent="0.3">
      <c r="A93" s="2" t="s">
        <v>193</v>
      </c>
      <c r="B93" s="3">
        <v>46049</v>
      </c>
      <c r="C93" s="2" t="s">
        <v>121</v>
      </c>
      <c r="D93" s="2" t="s">
        <v>99</v>
      </c>
      <c r="E93" s="2">
        <v>2</v>
      </c>
      <c r="F93" s="2">
        <v>8500</v>
      </c>
      <c r="G93" s="2">
        <v>0.2</v>
      </c>
      <c r="H93" s="2"/>
      <c r="I93" s="2" t="s">
        <v>14</v>
      </c>
      <c r="J93" s="2" t="s">
        <v>31</v>
      </c>
      <c r="K93" s="8">
        <f t="shared" si="9"/>
        <v>17000</v>
      </c>
      <c r="L93" s="10">
        <f t="shared" si="10"/>
        <v>3400</v>
      </c>
      <c r="M93" s="13">
        <f t="shared" si="11"/>
        <v>13600</v>
      </c>
      <c r="N93" s="15" t="str">
        <f t="shared" si="12"/>
        <v>Low Value</v>
      </c>
      <c r="O93" s="17" t="str">
        <f t="shared" si="13"/>
        <v>Medium</v>
      </c>
      <c r="P93" s="2" t="str">
        <f t="shared" si="14"/>
        <v>054</v>
      </c>
      <c r="Q93" s="2" t="str">
        <f t="shared" si="15"/>
        <v>109</v>
      </c>
      <c r="R93" s="2" t="str">
        <f t="shared" si="16"/>
        <v>Rahul</v>
      </c>
      <c r="S93" s="2" t="str">
        <f t="shared" si="17"/>
        <v>East</v>
      </c>
      <c r="T93" s="2" t="str">
        <f>IFERROR(VLOOKUP(D93,Product_Reference!$A$1:$F$26,2,0),"Not Found!!")</f>
        <v>Noise Cancelling Headphones</v>
      </c>
      <c r="U93" s="2" t="str">
        <f>IFERROR(VLOOKUP(D93,Product_Reference!$A$1:$F$26,3,0),"Not Found!!")</f>
        <v>Audio</v>
      </c>
      <c r="V93" s="2" t="str">
        <f>IFERROR(VLOOKUP(D93,Product_Reference!$A$1:$F$26,4,0),"Not Found!!")</f>
        <v>SoundMax</v>
      </c>
      <c r="W93" s="2" t="str">
        <f>IFERROR(VLOOKUP(D93,Product_Reference!$A$1:$F$26,5,0),"Not Found!!")</f>
        <v>LMN Ltd</v>
      </c>
      <c r="X93" s="2">
        <f>IFERROR(VLOOKUP(D93,Product_Reference!$A$1:$F$26,6,0),"Not Found!!")</f>
        <v>4.7</v>
      </c>
    </row>
    <row r="94" spans="1:24" x14ac:dyDescent="0.3">
      <c r="A94" s="2" t="s">
        <v>194</v>
      </c>
      <c r="B94" s="3">
        <v>46051</v>
      </c>
      <c r="C94" s="2" t="s">
        <v>195</v>
      </c>
      <c r="D94" s="2" t="s">
        <v>30</v>
      </c>
      <c r="E94" s="2">
        <v>2</v>
      </c>
      <c r="F94" s="2">
        <v>30000</v>
      </c>
      <c r="G94" s="2">
        <v>0.12</v>
      </c>
      <c r="H94" s="2" t="s">
        <v>25</v>
      </c>
      <c r="I94" s="2" t="s">
        <v>14</v>
      </c>
      <c r="J94" s="2" t="s">
        <v>50</v>
      </c>
      <c r="K94" s="8">
        <f t="shared" si="9"/>
        <v>60000</v>
      </c>
      <c r="L94" s="10">
        <f t="shared" si="10"/>
        <v>7200</v>
      </c>
      <c r="M94" s="13">
        <f t="shared" si="11"/>
        <v>52800</v>
      </c>
      <c r="N94" s="15" t="str">
        <f t="shared" si="12"/>
        <v>High Value</v>
      </c>
      <c r="O94" s="17" t="str">
        <f t="shared" si="13"/>
        <v>Medium</v>
      </c>
      <c r="P94" s="2" t="str">
        <f t="shared" si="14"/>
        <v>013</v>
      </c>
      <c r="Q94" s="2" t="str">
        <f t="shared" si="15"/>
        <v>121</v>
      </c>
      <c r="R94" s="2" t="str">
        <f t="shared" si="16"/>
        <v>Neha</v>
      </c>
      <c r="S94" s="2" t="str">
        <f t="shared" si="17"/>
        <v>East</v>
      </c>
      <c r="T94" s="2" t="str">
        <f>IFERROR(VLOOKUP(D94,Product_Reference!$A$1:$F$26,2,0),"Not Found!!")</f>
        <v>Portable Projector</v>
      </c>
      <c r="U94" s="2" t="str">
        <f>IFERROR(VLOOKUP(D94,Product_Reference!$A$1:$F$26,3,0),"Not Found!!")</f>
        <v>Electronics</v>
      </c>
      <c r="V94" s="2" t="str">
        <f>IFERROR(VLOOKUP(D94,Product_Reference!$A$1:$F$26,4,0),"Not Found!!")</f>
        <v>ViewMax</v>
      </c>
      <c r="W94" s="2" t="str">
        <f>IFERROR(VLOOKUP(D94,Product_Reference!$A$1:$F$26,5,0),"Not Found!!")</f>
        <v>PQR Ltd</v>
      </c>
      <c r="X94" s="2">
        <f>IFERROR(VLOOKUP(D94,Product_Reference!$A$1:$F$26,6,0),"Not Found!!")</f>
        <v>4.0999999999999996</v>
      </c>
    </row>
    <row r="95" spans="1:24" x14ac:dyDescent="0.3">
      <c r="A95" s="2" t="s">
        <v>196</v>
      </c>
      <c r="B95" s="3">
        <v>46091</v>
      </c>
      <c r="C95" s="2" t="s">
        <v>45</v>
      </c>
      <c r="D95" s="2" t="s">
        <v>49</v>
      </c>
      <c r="E95" s="2">
        <v>1</v>
      </c>
      <c r="F95" s="2">
        <v>650</v>
      </c>
      <c r="G95" s="2">
        <v>0.2</v>
      </c>
      <c r="H95" s="2" t="s">
        <v>25</v>
      </c>
      <c r="I95" s="2" t="s">
        <v>26</v>
      </c>
      <c r="J95" s="2" t="s">
        <v>50</v>
      </c>
      <c r="K95" s="8">
        <f t="shared" si="9"/>
        <v>650</v>
      </c>
      <c r="L95" s="10">
        <f t="shared" si="10"/>
        <v>130</v>
      </c>
      <c r="M95" s="13">
        <f t="shared" si="11"/>
        <v>520</v>
      </c>
      <c r="N95" s="15" t="str">
        <f t="shared" si="12"/>
        <v>Low Value</v>
      </c>
      <c r="O95" s="17" t="str">
        <f t="shared" si="13"/>
        <v>Medium</v>
      </c>
      <c r="P95" s="2" t="str">
        <f t="shared" si="14"/>
        <v>047</v>
      </c>
      <c r="Q95" s="2" t="str">
        <f t="shared" si="15"/>
        <v>118</v>
      </c>
      <c r="R95" s="2" t="str">
        <f t="shared" si="16"/>
        <v>Neha</v>
      </c>
      <c r="S95" s="2" t="str">
        <f t="shared" si="17"/>
        <v>West</v>
      </c>
      <c r="T95" s="2" t="str">
        <f>IFERROR(VLOOKUP(D95,Product_Reference!$A$1:$F$26,2,0),"Not Found!!")</f>
        <v>Mechanical Pencil Set</v>
      </c>
      <c r="U95" s="2" t="str">
        <f>IFERROR(VLOOKUP(D95,Product_Reference!$A$1:$F$26,3,0),"Not Found!!")</f>
        <v>Stationery</v>
      </c>
      <c r="V95" s="2" t="str">
        <f>IFERROR(VLOOKUP(D95,Product_Reference!$A$1:$F$26,4,0),"Not Found!!")</f>
        <v>WriteWell</v>
      </c>
      <c r="W95" s="2" t="str">
        <f>IFERROR(VLOOKUP(D95,Product_Reference!$A$1:$F$26,5,0),"Not Found!!")</f>
        <v>LMN Ltd</v>
      </c>
      <c r="X95" s="2">
        <f>IFERROR(VLOOKUP(D95,Product_Reference!$A$1:$F$26,6,0),"Not Found!!")</f>
        <v>4.3</v>
      </c>
    </row>
    <row r="96" spans="1:24" x14ac:dyDescent="0.3">
      <c r="A96" s="2" t="s">
        <v>197</v>
      </c>
      <c r="B96" s="3">
        <v>46055</v>
      </c>
      <c r="C96" s="2" t="s">
        <v>121</v>
      </c>
      <c r="D96" s="2" t="s">
        <v>49</v>
      </c>
      <c r="E96" s="2">
        <v>2</v>
      </c>
      <c r="F96" s="2">
        <v>650</v>
      </c>
      <c r="G96" s="2">
        <v>0.18</v>
      </c>
      <c r="H96" s="2" t="s">
        <v>13</v>
      </c>
      <c r="I96" s="2" t="s">
        <v>20</v>
      </c>
      <c r="J96" s="2" t="s">
        <v>31</v>
      </c>
      <c r="K96" s="8">
        <f t="shared" si="9"/>
        <v>1300</v>
      </c>
      <c r="L96" s="10">
        <f t="shared" si="10"/>
        <v>234</v>
      </c>
      <c r="M96" s="13">
        <f t="shared" si="11"/>
        <v>1066</v>
      </c>
      <c r="N96" s="15" t="str">
        <f t="shared" si="12"/>
        <v>Low Value</v>
      </c>
      <c r="O96" s="17" t="str">
        <f t="shared" si="13"/>
        <v>Medium</v>
      </c>
      <c r="P96" s="2" t="str">
        <f t="shared" si="14"/>
        <v>054</v>
      </c>
      <c r="Q96" s="2" t="str">
        <f t="shared" si="15"/>
        <v>118</v>
      </c>
      <c r="R96" s="2" t="str">
        <f t="shared" si="16"/>
        <v>Rahul</v>
      </c>
      <c r="S96" s="2" t="str">
        <f t="shared" si="17"/>
        <v>South</v>
      </c>
      <c r="T96" s="2" t="str">
        <f>IFERROR(VLOOKUP(D96,Product_Reference!$A$1:$F$26,2,0),"Not Found!!")</f>
        <v>Mechanical Pencil Set</v>
      </c>
      <c r="U96" s="2" t="str">
        <f>IFERROR(VLOOKUP(D96,Product_Reference!$A$1:$F$26,3,0),"Not Found!!")</f>
        <v>Stationery</v>
      </c>
      <c r="V96" s="2" t="str">
        <f>IFERROR(VLOOKUP(D96,Product_Reference!$A$1:$F$26,4,0),"Not Found!!")</f>
        <v>WriteWell</v>
      </c>
      <c r="W96" s="2" t="str">
        <f>IFERROR(VLOOKUP(D96,Product_Reference!$A$1:$F$26,5,0),"Not Found!!")</f>
        <v>LMN Ltd</v>
      </c>
      <c r="X96" s="2">
        <f>IFERROR(VLOOKUP(D96,Product_Reference!$A$1:$F$26,6,0),"Not Found!!")</f>
        <v>4.3</v>
      </c>
    </row>
    <row r="97" spans="1:24" x14ac:dyDescent="0.3">
      <c r="A97" s="2" t="s">
        <v>198</v>
      </c>
      <c r="B97" s="3">
        <v>46085</v>
      </c>
      <c r="C97" s="2" t="s">
        <v>102</v>
      </c>
      <c r="D97" s="2" t="s">
        <v>199</v>
      </c>
      <c r="E97" s="2">
        <v>2</v>
      </c>
      <c r="F97" s="2">
        <v>18000</v>
      </c>
      <c r="G97" s="2">
        <v>0.05</v>
      </c>
      <c r="H97" s="2" t="s">
        <v>25</v>
      </c>
      <c r="I97" s="2" t="s">
        <v>36</v>
      </c>
      <c r="J97" s="2" t="s">
        <v>31</v>
      </c>
      <c r="K97" s="8">
        <f t="shared" si="9"/>
        <v>36000</v>
      </c>
      <c r="L97" s="10">
        <f t="shared" si="10"/>
        <v>1800</v>
      </c>
      <c r="M97" s="13">
        <f t="shared" si="11"/>
        <v>34200</v>
      </c>
      <c r="N97" s="15" t="str">
        <f t="shared" si="12"/>
        <v>Medium Value</v>
      </c>
      <c r="O97" s="17" t="str">
        <f t="shared" si="13"/>
        <v>Low</v>
      </c>
      <c r="P97" s="2" t="str">
        <f t="shared" si="14"/>
        <v>025</v>
      </c>
      <c r="Q97" s="2" t="str">
        <f t="shared" si="15"/>
        <v>111</v>
      </c>
      <c r="R97" s="2" t="str">
        <f t="shared" si="16"/>
        <v>Rahul</v>
      </c>
      <c r="S97" s="2" t="str">
        <f t="shared" si="17"/>
        <v>North</v>
      </c>
      <c r="T97" s="2" t="str">
        <f>IFERROR(VLOOKUP(D97,Product_Reference!$A$1:$F$26,2,0),"Not Found!!")</f>
        <v>Gaming Monitor 24</v>
      </c>
      <c r="U97" s="2" t="str">
        <f>IFERROR(VLOOKUP(D97,Product_Reference!$A$1:$F$26,3,0),"Not Found!!")</f>
        <v>Electronics</v>
      </c>
      <c r="V97" s="2" t="str">
        <f>IFERROR(VLOOKUP(D97,Product_Reference!$A$1:$F$26,4,0),"Not Found!!")</f>
        <v>ViewMax</v>
      </c>
      <c r="W97" s="2" t="str">
        <f>IFERROR(VLOOKUP(D97,Product_Reference!$A$1:$F$26,5,0),"Not Found!!")</f>
        <v>XYZ Ltd</v>
      </c>
      <c r="X97" s="2">
        <f>IFERROR(VLOOKUP(D97,Product_Reference!$A$1:$F$26,6,0),"Not Found!!")</f>
        <v>4.2</v>
      </c>
    </row>
    <row r="98" spans="1:24" x14ac:dyDescent="0.3">
      <c r="A98" s="2" t="s">
        <v>200</v>
      </c>
      <c r="B98" s="3">
        <v>46023</v>
      </c>
      <c r="C98" s="2" t="s">
        <v>54</v>
      </c>
      <c r="D98" s="2" t="s">
        <v>74</v>
      </c>
      <c r="E98" s="2">
        <v>1</v>
      </c>
      <c r="F98" s="2">
        <v>5500</v>
      </c>
      <c r="G98" s="2">
        <v>0.05</v>
      </c>
      <c r="H98" s="2" t="s">
        <v>19</v>
      </c>
      <c r="I98" s="2" t="s">
        <v>26</v>
      </c>
      <c r="J98" s="2" t="s">
        <v>27</v>
      </c>
      <c r="K98" s="8">
        <f t="shared" si="9"/>
        <v>5500</v>
      </c>
      <c r="L98" s="10">
        <f t="shared" si="10"/>
        <v>275</v>
      </c>
      <c r="M98" s="13">
        <f t="shared" si="11"/>
        <v>5225</v>
      </c>
      <c r="N98" s="15" t="str">
        <f t="shared" si="12"/>
        <v>Low Value</v>
      </c>
      <c r="O98" s="17" t="str">
        <f t="shared" si="13"/>
        <v>Low</v>
      </c>
      <c r="P98" s="2" t="str">
        <f t="shared" si="14"/>
        <v>021</v>
      </c>
      <c r="Q98" s="2" t="str">
        <f t="shared" si="15"/>
        <v>113</v>
      </c>
      <c r="R98" s="2" t="str">
        <f t="shared" si="16"/>
        <v>Sneha</v>
      </c>
      <c r="S98" s="2" t="str">
        <f t="shared" si="17"/>
        <v>West</v>
      </c>
      <c r="T98" s="2" t="str">
        <f>IFERROR(VLOOKUP(D98,Product_Reference!$A$1:$F$26,2,0),"Not Found!!")</f>
        <v>Wireless Earbuds</v>
      </c>
      <c r="U98" s="2" t="str">
        <f>IFERROR(VLOOKUP(D98,Product_Reference!$A$1:$F$26,3,0),"Not Found!!")</f>
        <v>Audio</v>
      </c>
      <c r="V98" s="2" t="str">
        <f>IFERROR(VLOOKUP(D98,Product_Reference!$A$1:$F$26,4,0),"Not Found!!")</f>
        <v>SoundMax</v>
      </c>
      <c r="W98" s="2" t="str">
        <f>IFERROR(VLOOKUP(D98,Product_Reference!$A$1:$F$26,5,0),"Not Found!!")</f>
        <v>LMN Ltd</v>
      </c>
      <c r="X98" s="2">
        <f>IFERROR(VLOOKUP(D98,Product_Reference!$A$1:$F$26,6,0),"Not Found!!")</f>
        <v>4.4000000000000004</v>
      </c>
    </row>
    <row r="99" spans="1:24" x14ac:dyDescent="0.3">
      <c r="A99" s="2" t="s">
        <v>201</v>
      </c>
      <c r="B99" s="3">
        <v>46027</v>
      </c>
      <c r="C99" s="2" t="s">
        <v>180</v>
      </c>
      <c r="D99" s="2" t="s">
        <v>107</v>
      </c>
      <c r="E99" s="2">
        <v>2</v>
      </c>
      <c r="F99" s="2">
        <v>1800</v>
      </c>
      <c r="G99" s="2">
        <v>0.18</v>
      </c>
      <c r="H99" s="2" t="s">
        <v>25</v>
      </c>
      <c r="I99" s="2" t="s">
        <v>36</v>
      </c>
      <c r="J99" s="2" t="s">
        <v>202</v>
      </c>
      <c r="K99" s="8">
        <f t="shared" si="9"/>
        <v>3600</v>
      </c>
      <c r="L99" s="10">
        <f t="shared" si="10"/>
        <v>648</v>
      </c>
      <c r="M99" s="13">
        <f t="shared" si="11"/>
        <v>2952</v>
      </c>
      <c r="N99" s="15" t="str">
        <f t="shared" si="12"/>
        <v>Low Value</v>
      </c>
      <c r="O99" s="17" t="str">
        <f t="shared" si="13"/>
        <v>Medium</v>
      </c>
      <c r="P99" s="2" t="str">
        <f t="shared" si="14"/>
        <v>038</v>
      </c>
      <c r="Q99" s="2" t="str">
        <f t="shared" si="15"/>
        <v>117</v>
      </c>
      <c r="R99" s="2" t="str">
        <f t="shared" si="16"/>
        <v>Amit</v>
      </c>
      <c r="S99" s="2" t="str">
        <f t="shared" si="17"/>
        <v>North</v>
      </c>
      <c r="T99" s="2" t="str">
        <f>IFERROR(VLOOKUP(D99,Product_Reference!$A$1:$F$26,2,0),"Not Found!!")</f>
        <v>Laptop Stand</v>
      </c>
      <c r="U99" s="2" t="str">
        <f>IFERROR(VLOOKUP(D99,Product_Reference!$A$1:$F$26,3,0),"Not Found!!")</f>
        <v>Accessories</v>
      </c>
      <c r="V99" s="2" t="str">
        <f>IFERROR(VLOOKUP(D99,Product_Reference!$A$1:$F$26,4,0),"Not Found!!")</f>
        <v>ErgoTech</v>
      </c>
      <c r="W99" s="2" t="str">
        <f>IFERROR(VLOOKUP(D99,Product_Reference!$A$1:$F$26,5,0),"Not Found!!")</f>
        <v>PQR Ltd</v>
      </c>
      <c r="X99" s="2">
        <f>IFERROR(VLOOKUP(D99,Product_Reference!$A$1:$F$26,6,0),"Not Found!!")</f>
        <v>4</v>
      </c>
    </row>
    <row r="100" spans="1:24" x14ac:dyDescent="0.3">
      <c r="A100" s="2" t="s">
        <v>203</v>
      </c>
      <c r="B100" s="3">
        <v>46096</v>
      </c>
      <c r="C100" s="2" t="s">
        <v>92</v>
      </c>
      <c r="D100" s="2" t="s">
        <v>30</v>
      </c>
      <c r="E100" s="2">
        <v>2</v>
      </c>
      <c r="F100" s="2">
        <v>30000</v>
      </c>
      <c r="G100" s="2">
        <v>0.05</v>
      </c>
      <c r="H100" s="2" t="s">
        <v>19</v>
      </c>
      <c r="I100" s="2" t="s">
        <v>26</v>
      </c>
      <c r="J100" s="2" t="s">
        <v>31</v>
      </c>
      <c r="K100" s="8">
        <f t="shared" si="9"/>
        <v>60000</v>
      </c>
      <c r="L100" s="10">
        <f t="shared" si="10"/>
        <v>3000</v>
      </c>
      <c r="M100" s="13">
        <f t="shared" si="11"/>
        <v>57000</v>
      </c>
      <c r="N100" s="15" t="str">
        <f t="shared" si="12"/>
        <v>High Value</v>
      </c>
      <c r="O100" s="17" t="str">
        <f t="shared" si="13"/>
        <v>Low</v>
      </c>
      <c r="P100" s="2" t="str">
        <f t="shared" si="14"/>
        <v>019</v>
      </c>
      <c r="Q100" s="2" t="str">
        <f t="shared" si="15"/>
        <v>121</v>
      </c>
      <c r="R100" s="2" t="str">
        <f t="shared" si="16"/>
        <v>Rahul</v>
      </c>
      <c r="S100" s="2" t="str">
        <f t="shared" si="17"/>
        <v>West</v>
      </c>
      <c r="T100" s="2" t="str">
        <f>IFERROR(VLOOKUP(D100,Product_Reference!$A$1:$F$26,2,0),"Not Found!!")</f>
        <v>Portable Projector</v>
      </c>
      <c r="U100" s="2" t="str">
        <f>IFERROR(VLOOKUP(D100,Product_Reference!$A$1:$F$26,3,0),"Not Found!!")</f>
        <v>Electronics</v>
      </c>
      <c r="V100" s="2" t="str">
        <f>IFERROR(VLOOKUP(D100,Product_Reference!$A$1:$F$26,4,0),"Not Found!!")</f>
        <v>ViewMax</v>
      </c>
      <c r="W100" s="2" t="str">
        <f>IFERROR(VLOOKUP(D100,Product_Reference!$A$1:$F$26,5,0),"Not Found!!")</f>
        <v>PQR Ltd</v>
      </c>
      <c r="X100" s="2">
        <f>IFERROR(VLOOKUP(D100,Product_Reference!$A$1:$F$26,6,0),"Not Found!!")</f>
        <v>4.0999999999999996</v>
      </c>
    </row>
    <row r="101" spans="1:24" x14ac:dyDescent="0.3">
      <c r="A101" s="2" t="s">
        <v>204</v>
      </c>
      <c r="B101" s="3">
        <v>46067</v>
      </c>
      <c r="C101" s="2" t="s">
        <v>195</v>
      </c>
      <c r="D101" s="2" t="s">
        <v>43</v>
      </c>
      <c r="E101" s="2">
        <v>1</v>
      </c>
      <c r="F101" s="2">
        <v>2500</v>
      </c>
      <c r="G101" s="2">
        <v>0.08</v>
      </c>
      <c r="H101" s="2" t="s">
        <v>19</v>
      </c>
      <c r="I101" s="2" t="s">
        <v>14</v>
      </c>
      <c r="J101" s="2" t="s">
        <v>31</v>
      </c>
      <c r="K101" s="8">
        <f t="shared" si="9"/>
        <v>2500</v>
      </c>
      <c r="L101" s="10">
        <f t="shared" si="10"/>
        <v>200</v>
      </c>
      <c r="M101" s="13">
        <f t="shared" si="11"/>
        <v>2300</v>
      </c>
      <c r="N101" s="15" t="str">
        <f t="shared" si="12"/>
        <v>Low Value</v>
      </c>
      <c r="O101" s="17" t="str">
        <f t="shared" si="13"/>
        <v>Low</v>
      </c>
      <c r="P101" s="2" t="str">
        <f t="shared" si="14"/>
        <v>013</v>
      </c>
      <c r="Q101" s="2" t="str">
        <f t="shared" si="15"/>
        <v>114</v>
      </c>
      <c r="R101" s="2" t="str">
        <f t="shared" si="16"/>
        <v>Rahul</v>
      </c>
      <c r="S101" s="2" t="str">
        <f t="shared" si="17"/>
        <v>East</v>
      </c>
      <c r="T101" s="2" t="str">
        <f>IFERROR(VLOOKUP(D101,Product_Reference!$A$1:$F$26,2,0),"Not Found!!")</f>
        <v>Power Bank 20000mAh</v>
      </c>
      <c r="U101" s="2" t="str">
        <f>IFERROR(VLOOKUP(D101,Product_Reference!$A$1:$F$26,3,0),"Not Found!!")</f>
        <v>Accessories</v>
      </c>
      <c r="V101" s="2" t="str">
        <f>IFERROR(VLOOKUP(D101,Product_Reference!$A$1:$F$26,4,0),"Not Found!!")</f>
        <v>PowerPlus</v>
      </c>
      <c r="W101" s="2" t="str">
        <f>IFERROR(VLOOKUP(D101,Product_Reference!$A$1:$F$26,5,0),"Not Found!!")</f>
        <v>PQR Ltd</v>
      </c>
      <c r="X101" s="2">
        <f>IFERROR(VLOOKUP(D101,Product_Reference!$A$1:$F$26,6,0),"Not Found!!")</f>
        <v>4.0999999999999996</v>
      </c>
    </row>
    <row r="102" spans="1:24" x14ac:dyDescent="0.3">
      <c r="A102" s="2" t="s">
        <v>205</v>
      </c>
      <c r="B102" s="3">
        <v>46094</v>
      </c>
      <c r="C102" s="2" t="s">
        <v>39</v>
      </c>
      <c r="D102" s="2" t="s">
        <v>103</v>
      </c>
      <c r="E102" s="2">
        <v>1</v>
      </c>
      <c r="F102" s="2">
        <v>7000</v>
      </c>
      <c r="G102" s="2">
        <v>0.1</v>
      </c>
      <c r="H102" s="2" t="s">
        <v>35</v>
      </c>
      <c r="I102" s="2" t="s">
        <v>26</v>
      </c>
      <c r="J102" s="2" t="s">
        <v>50</v>
      </c>
      <c r="K102" s="8">
        <f t="shared" si="9"/>
        <v>7000</v>
      </c>
      <c r="L102" s="10">
        <f t="shared" si="10"/>
        <v>700</v>
      </c>
      <c r="M102" s="13">
        <f t="shared" si="11"/>
        <v>6300</v>
      </c>
      <c r="N102" s="15" t="str">
        <f t="shared" si="12"/>
        <v>Low Value</v>
      </c>
      <c r="O102" s="17" t="str">
        <f t="shared" si="13"/>
        <v>Medium</v>
      </c>
      <c r="P102" s="2" t="str">
        <f t="shared" si="14"/>
        <v>039</v>
      </c>
      <c r="Q102" s="2" t="str">
        <f t="shared" si="15"/>
        <v>108</v>
      </c>
      <c r="R102" s="2" t="str">
        <f t="shared" si="16"/>
        <v>Neha</v>
      </c>
      <c r="S102" s="2" t="str">
        <f t="shared" si="17"/>
        <v>West</v>
      </c>
      <c r="T102" s="2" t="str">
        <f>IFERROR(VLOOKUP(D102,Product_Reference!$A$1:$F$26,2,0),"Not Found!!")</f>
        <v>Smart Watch</v>
      </c>
      <c r="U102" s="2" t="str">
        <f>IFERROR(VLOOKUP(D102,Product_Reference!$A$1:$F$26,3,0),"Not Found!!")</f>
        <v>Wearables</v>
      </c>
      <c r="V102" s="2" t="str">
        <f>IFERROR(VLOOKUP(D102,Product_Reference!$A$1:$F$26,4,0),"Not Found!!")</f>
        <v>FitTech</v>
      </c>
      <c r="W102" s="2" t="str">
        <f>IFERROR(VLOOKUP(D102,Product_Reference!$A$1:$F$26,5,0),"Not Found!!")</f>
        <v>ABC Ltd</v>
      </c>
      <c r="X102" s="2">
        <f>IFERROR(VLOOKUP(D102,Product_Reference!$A$1:$F$26,6,0),"Not Found!!")</f>
        <v>4</v>
      </c>
    </row>
    <row r="103" spans="1:24" x14ac:dyDescent="0.3">
      <c r="A103" s="2" t="s">
        <v>206</v>
      </c>
      <c r="B103" s="3">
        <v>46072</v>
      </c>
      <c r="C103" s="2" t="s">
        <v>106</v>
      </c>
      <c r="D103" s="2" t="s">
        <v>24</v>
      </c>
      <c r="E103" s="2">
        <v>1</v>
      </c>
      <c r="F103" s="2">
        <v>5500</v>
      </c>
      <c r="G103" s="2">
        <v>0.08</v>
      </c>
      <c r="H103" s="2" t="s">
        <v>13</v>
      </c>
      <c r="I103" s="2" t="s">
        <v>20</v>
      </c>
      <c r="J103" s="2" t="s">
        <v>37</v>
      </c>
      <c r="K103" s="8">
        <f t="shared" si="9"/>
        <v>5500</v>
      </c>
      <c r="L103" s="10">
        <f t="shared" si="10"/>
        <v>440</v>
      </c>
      <c r="M103" s="13">
        <f t="shared" si="11"/>
        <v>5060</v>
      </c>
      <c r="N103" s="15" t="str">
        <f t="shared" si="12"/>
        <v>Low Value</v>
      </c>
      <c r="O103" s="17" t="str">
        <f t="shared" si="13"/>
        <v>Low</v>
      </c>
      <c r="P103" s="2" t="str">
        <f t="shared" si="14"/>
        <v>012</v>
      </c>
      <c r="Q103" s="2" t="str">
        <f t="shared" si="15"/>
        <v>122</v>
      </c>
      <c r="R103" s="2" t="str">
        <f t="shared" si="16"/>
        <v>Karan</v>
      </c>
      <c r="S103" s="2" t="str">
        <f t="shared" si="17"/>
        <v>South</v>
      </c>
      <c r="T103" s="2" t="str">
        <f>IFERROR(VLOOKUP(D103,Product_Reference!$A$1:$F$26,2,0),"Not Found!!")</f>
        <v>Router AX1800</v>
      </c>
      <c r="U103" s="2" t="str">
        <f>IFERROR(VLOOKUP(D103,Product_Reference!$A$1:$F$26,3,0),"Not Found!!")</f>
        <v>Networking</v>
      </c>
      <c r="V103" s="2" t="str">
        <f>IFERROR(VLOOKUP(D103,Product_Reference!$A$1:$F$26,4,0),"Not Found!!")</f>
        <v>NetLink</v>
      </c>
      <c r="W103" s="2" t="str">
        <f>IFERROR(VLOOKUP(D103,Product_Reference!$A$1:$F$26,5,0),"Not Found!!")</f>
        <v>ABC Ltd</v>
      </c>
      <c r="X103" s="2">
        <f>IFERROR(VLOOKUP(D103,Product_Reference!$A$1:$F$26,6,0),"Not Found!!")</f>
        <v>4.5</v>
      </c>
    </row>
    <row r="104" spans="1:24" x14ac:dyDescent="0.3">
      <c r="A104" s="2" t="s">
        <v>207</v>
      </c>
      <c r="B104" s="3">
        <v>46069</v>
      </c>
      <c r="C104" s="2" t="s">
        <v>145</v>
      </c>
      <c r="D104" s="2" t="s">
        <v>83</v>
      </c>
      <c r="E104" s="2">
        <v>1</v>
      </c>
      <c r="F104" s="2">
        <v>16000</v>
      </c>
      <c r="G104" s="2">
        <v>0.2</v>
      </c>
      <c r="H104" s="2" t="s">
        <v>13</v>
      </c>
      <c r="I104" s="2" t="s">
        <v>14</v>
      </c>
      <c r="J104" s="2" t="s">
        <v>50</v>
      </c>
      <c r="K104" s="8">
        <f t="shared" si="9"/>
        <v>16000</v>
      </c>
      <c r="L104" s="10">
        <f t="shared" si="10"/>
        <v>3200</v>
      </c>
      <c r="M104" s="13">
        <f t="shared" si="11"/>
        <v>12800</v>
      </c>
      <c r="N104" s="15" t="str">
        <f t="shared" si="12"/>
        <v>Low Value</v>
      </c>
      <c r="O104" s="17" t="str">
        <f t="shared" si="13"/>
        <v>Medium</v>
      </c>
      <c r="P104" s="2" t="str">
        <f t="shared" si="14"/>
        <v>023</v>
      </c>
      <c r="Q104" s="2" t="str">
        <f t="shared" si="15"/>
        <v>125</v>
      </c>
      <c r="R104" s="2" t="str">
        <f t="shared" si="16"/>
        <v>Neha</v>
      </c>
      <c r="S104" s="2" t="str">
        <f t="shared" si="17"/>
        <v>East</v>
      </c>
      <c r="T104" s="2" t="str">
        <f>IFERROR(VLOOKUP(D104,Product_Reference!$A$1:$F$26,2,0),"Not Found!!")</f>
        <v>Laser Printer</v>
      </c>
      <c r="U104" s="2" t="str">
        <f>IFERROR(VLOOKUP(D104,Product_Reference!$A$1:$F$26,3,0),"Not Found!!")</f>
        <v>Office Equipment</v>
      </c>
      <c r="V104" s="2" t="str">
        <f>IFERROR(VLOOKUP(D104,Product_Reference!$A$1:$F$26,4,0),"Not Found!!")</f>
        <v>PrintPro</v>
      </c>
      <c r="W104" s="2" t="str">
        <f>IFERROR(VLOOKUP(D104,Product_Reference!$A$1:$F$26,5,0),"Not Found!!")</f>
        <v>ABC Ltd</v>
      </c>
      <c r="X104" s="2">
        <f>IFERROR(VLOOKUP(D104,Product_Reference!$A$1:$F$26,6,0),"Not Found!!")</f>
        <v>4.2</v>
      </c>
    </row>
    <row r="105" spans="1:24" x14ac:dyDescent="0.3">
      <c r="A105" s="2" t="s">
        <v>208</v>
      </c>
      <c r="B105" s="3">
        <v>46060</v>
      </c>
      <c r="C105" s="2" t="s">
        <v>57</v>
      </c>
      <c r="D105" s="2" t="s">
        <v>78</v>
      </c>
      <c r="E105" s="2">
        <v>1</v>
      </c>
      <c r="F105" s="2">
        <v>1200</v>
      </c>
      <c r="G105" s="2">
        <v>0.18</v>
      </c>
      <c r="H105" s="2" t="s">
        <v>25</v>
      </c>
      <c r="I105" s="2" t="s">
        <v>26</v>
      </c>
      <c r="J105" s="2" t="s">
        <v>15</v>
      </c>
      <c r="K105" s="8">
        <f t="shared" si="9"/>
        <v>1200</v>
      </c>
      <c r="L105" s="10">
        <f t="shared" si="10"/>
        <v>216</v>
      </c>
      <c r="M105" s="13">
        <f t="shared" si="11"/>
        <v>984</v>
      </c>
      <c r="N105" s="15" t="str">
        <f t="shared" si="12"/>
        <v>Low Value</v>
      </c>
      <c r="O105" s="17" t="str">
        <f t="shared" si="13"/>
        <v>Medium</v>
      </c>
      <c r="P105" s="2" t="str">
        <f t="shared" si="14"/>
        <v>060</v>
      </c>
      <c r="Q105" s="2" t="str">
        <f t="shared" si="15"/>
        <v>102</v>
      </c>
      <c r="R105" s="2" t="str">
        <f t="shared" si="16"/>
        <v>Priya</v>
      </c>
      <c r="S105" s="2" t="str">
        <f t="shared" si="17"/>
        <v>West</v>
      </c>
      <c r="T105" s="2" t="str">
        <f>IFERROR(VLOOKUP(D105,Product_Reference!$A$1:$F$26,2,0),"Not Found!!")</f>
        <v>Wireless Mouse</v>
      </c>
      <c r="U105" s="2" t="str">
        <f>IFERROR(VLOOKUP(D105,Product_Reference!$A$1:$F$26,3,0),"Not Found!!")</f>
        <v>Accessories</v>
      </c>
      <c r="V105" s="2" t="str">
        <f>IFERROR(VLOOKUP(D105,Product_Reference!$A$1:$F$26,4,0),"Not Found!!")</f>
        <v>ClickTech</v>
      </c>
      <c r="W105" s="2" t="str">
        <f>IFERROR(VLOOKUP(D105,Product_Reference!$A$1:$F$26,5,0),"Not Found!!")</f>
        <v>XYZ Ltd</v>
      </c>
      <c r="X105" s="2">
        <f>IFERROR(VLOOKUP(D105,Product_Reference!$A$1:$F$26,6,0),"Not Found!!")</f>
        <v>4.2</v>
      </c>
    </row>
    <row r="106" spans="1:24" x14ac:dyDescent="0.3">
      <c r="A106" s="2" t="s">
        <v>209</v>
      </c>
      <c r="B106" s="3">
        <v>46074</v>
      </c>
      <c r="C106" s="2" t="s">
        <v>77</v>
      </c>
      <c r="D106" s="2" t="s">
        <v>49</v>
      </c>
      <c r="E106" s="2">
        <v>1</v>
      </c>
      <c r="F106" s="2">
        <v>650</v>
      </c>
      <c r="G106" s="2">
        <v>0.18</v>
      </c>
      <c r="H106" s="2" t="s">
        <v>35</v>
      </c>
      <c r="I106" s="2" t="s">
        <v>20</v>
      </c>
      <c r="J106" s="2" t="s">
        <v>27</v>
      </c>
      <c r="K106" s="8">
        <f t="shared" si="9"/>
        <v>650</v>
      </c>
      <c r="L106" s="10">
        <f t="shared" si="10"/>
        <v>117</v>
      </c>
      <c r="M106" s="13">
        <f t="shared" si="11"/>
        <v>533</v>
      </c>
      <c r="N106" s="15" t="str">
        <f t="shared" si="12"/>
        <v>Low Value</v>
      </c>
      <c r="O106" s="17" t="str">
        <f t="shared" si="13"/>
        <v>Medium</v>
      </c>
      <c r="P106" s="2" t="str">
        <f t="shared" si="14"/>
        <v>057</v>
      </c>
      <c r="Q106" s="2" t="str">
        <f t="shared" si="15"/>
        <v>118</v>
      </c>
      <c r="R106" s="2" t="str">
        <f t="shared" si="16"/>
        <v>Sneha</v>
      </c>
      <c r="S106" s="2" t="str">
        <f t="shared" si="17"/>
        <v>South</v>
      </c>
      <c r="T106" s="2" t="str">
        <f>IFERROR(VLOOKUP(D106,Product_Reference!$A$1:$F$26,2,0),"Not Found!!")</f>
        <v>Mechanical Pencil Set</v>
      </c>
      <c r="U106" s="2" t="str">
        <f>IFERROR(VLOOKUP(D106,Product_Reference!$A$1:$F$26,3,0),"Not Found!!")</f>
        <v>Stationery</v>
      </c>
      <c r="V106" s="2" t="str">
        <f>IFERROR(VLOOKUP(D106,Product_Reference!$A$1:$F$26,4,0),"Not Found!!")</f>
        <v>WriteWell</v>
      </c>
      <c r="W106" s="2" t="str">
        <f>IFERROR(VLOOKUP(D106,Product_Reference!$A$1:$F$26,5,0),"Not Found!!")</f>
        <v>LMN Ltd</v>
      </c>
      <c r="X106" s="2">
        <f>IFERROR(VLOOKUP(D106,Product_Reference!$A$1:$F$26,6,0),"Not Found!!")</f>
        <v>4.3</v>
      </c>
    </row>
    <row r="107" spans="1:24" x14ac:dyDescent="0.3">
      <c r="A107" s="2" t="s">
        <v>210</v>
      </c>
      <c r="B107" s="3">
        <v>46103</v>
      </c>
      <c r="C107" s="2" t="s">
        <v>211</v>
      </c>
      <c r="D107" s="2" t="s">
        <v>55</v>
      </c>
      <c r="E107" s="2">
        <v>6</v>
      </c>
      <c r="F107" s="2">
        <v>2800</v>
      </c>
      <c r="G107" s="2">
        <v>0.08</v>
      </c>
      <c r="H107" s="2" t="s">
        <v>13</v>
      </c>
      <c r="I107" s="2" t="s">
        <v>26</v>
      </c>
      <c r="J107" s="2" t="s">
        <v>31</v>
      </c>
      <c r="K107" s="8">
        <f t="shared" si="9"/>
        <v>16800</v>
      </c>
      <c r="L107" s="10">
        <f t="shared" si="10"/>
        <v>1344</v>
      </c>
      <c r="M107" s="13">
        <f t="shared" si="11"/>
        <v>15456</v>
      </c>
      <c r="N107" s="15" t="str">
        <f t="shared" si="12"/>
        <v>Low Value</v>
      </c>
      <c r="O107" s="17" t="str">
        <f t="shared" si="13"/>
        <v>Medium</v>
      </c>
      <c r="P107" s="2" t="str">
        <f t="shared" si="14"/>
        <v>005</v>
      </c>
      <c r="Q107" s="2" t="str">
        <f t="shared" si="15"/>
        <v>123</v>
      </c>
      <c r="R107" s="2" t="str">
        <f t="shared" si="16"/>
        <v>Rahul</v>
      </c>
      <c r="S107" s="2" t="str">
        <f t="shared" si="17"/>
        <v>West</v>
      </c>
      <c r="T107" s="2" t="str">
        <f>IFERROR(VLOOKUP(D107,Product_Reference!$A$1:$F$26,2,0),"Not Found!!")</f>
        <v>Wi-Fi Range Extender</v>
      </c>
      <c r="U107" s="2" t="str">
        <f>IFERROR(VLOOKUP(D107,Product_Reference!$A$1:$F$26,3,0),"Not Found!!")</f>
        <v>Networking</v>
      </c>
      <c r="V107" s="2" t="str">
        <f>IFERROR(VLOOKUP(D107,Product_Reference!$A$1:$F$26,4,0),"Not Found!!")</f>
        <v>NetLink</v>
      </c>
      <c r="W107" s="2" t="str">
        <f>IFERROR(VLOOKUP(D107,Product_Reference!$A$1:$F$26,5,0),"Not Found!!")</f>
        <v>XYZ Ltd</v>
      </c>
      <c r="X107" s="2">
        <f>IFERROR(VLOOKUP(D107,Product_Reference!$A$1:$F$26,6,0),"Not Found!!")</f>
        <v>4</v>
      </c>
    </row>
    <row r="108" spans="1:24" x14ac:dyDescent="0.3">
      <c r="A108" s="2" t="s">
        <v>212</v>
      </c>
      <c r="B108" s="3">
        <v>46106</v>
      </c>
      <c r="C108" s="2" t="s">
        <v>17</v>
      </c>
      <c r="D108" s="2" t="s">
        <v>34</v>
      </c>
      <c r="E108" s="2">
        <v>1</v>
      </c>
      <c r="F108" s="2">
        <v>9000</v>
      </c>
      <c r="G108" s="2">
        <v>0.1</v>
      </c>
      <c r="H108" s="2" t="s">
        <v>19</v>
      </c>
      <c r="I108" s="2" t="s">
        <v>26</v>
      </c>
      <c r="J108" s="2" t="s">
        <v>37</v>
      </c>
      <c r="K108" s="8">
        <f t="shared" si="9"/>
        <v>9000</v>
      </c>
      <c r="L108" s="10">
        <f t="shared" si="10"/>
        <v>900</v>
      </c>
      <c r="M108" s="13">
        <f t="shared" si="11"/>
        <v>8100</v>
      </c>
      <c r="N108" s="15" t="str">
        <f t="shared" si="12"/>
        <v>Low Value</v>
      </c>
      <c r="O108" s="17" t="str">
        <f t="shared" si="13"/>
        <v>Medium</v>
      </c>
      <c r="P108" s="2" t="str">
        <f t="shared" si="14"/>
        <v>024</v>
      </c>
      <c r="Q108" s="2" t="str">
        <f t="shared" si="15"/>
        <v>110</v>
      </c>
      <c r="R108" s="2" t="str">
        <f t="shared" si="16"/>
        <v>Karan</v>
      </c>
      <c r="S108" s="2" t="str">
        <f t="shared" si="17"/>
        <v>West</v>
      </c>
      <c r="T108" s="2" t="str">
        <f>IFERROR(VLOOKUP(D108,Product_Reference!$A$1:$F$26,2,0),"Not Found!!")</f>
        <v>External SSD 1TB</v>
      </c>
      <c r="U108" s="2" t="str">
        <f>IFERROR(VLOOKUP(D108,Product_Reference!$A$1:$F$26,3,0),"Not Found!!")</f>
        <v>Storage</v>
      </c>
      <c r="V108" s="2" t="str">
        <f>IFERROR(VLOOKUP(D108,Product_Reference!$A$1:$F$26,4,0),"Not Found!!")</f>
        <v>DataDrive</v>
      </c>
      <c r="W108" s="2" t="str">
        <f>IFERROR(VLOOKUP(D108,Product_Reference!$A$1:$F$26,5,0),"Not Found!!")</f>
        <v>PQR Ltd</v>
      </c>
      <c r="X108" s="2">
        <f>IFERROR(VLOOKUP(D108,Product_Reference!$A$1:$F$26,6,0),"Not Found!!")</f>
        <v>4.5</v>
      </c>
    </row>
    <row r="109" spans="1:24" x14ac:dyDescent="0.3">
      <c r="A109" s="2" t="s">
        <v>213</v>
      </c>
      <c r="B109" s="3">
        <v>46045</v>
      </c>
      <c r="C109" s="2" t="s">
        <v>214</v>
      </c>
      <c r="D109" s="2" t="s">
        <v>78</v>
      </c>
      <c r="E109" s="2">
        <v>1</v>
      </c>
      <c r="F109" s="2">
        <v>1200</v>
      </c>
      <c r="G109" s="2">
        <v>0.18</v>
      </c>
      <c r="H109" s="2" t="s">
        <v>35</v>
      </c>
      <c r="I109" s="2" t="s">
        <v>36</v>
      </c>
      <c r="J109" s="2" t="s">
        <v>50</v>
      </c>
      <c r="K109" s="8">
        <f t="shared" si="9"/>
        <v>1200</v>
      </c>
      <c r="L109" s="10">
        <f t="shared" si="10"/>
        <v>216</v>
      </c>
      <c r="M109" s="13">
        <f t="shared" si="11"/>
        <v>984</v>
      </c>
      <c r="N109" s="15" t="str">
        <f t="shared" si="12"/>
        <v>Low Value</v>
      </c>
      <c r="O109" s="17" t="str">
        <f t="shared" si="13"/>
        <v>Medium</v>
      </c>
      <c r="P109" s="2" t="str">
        <f t="shared" si="14"/>
        <v>055</v>
      </c>
      <c r="Q109" s="2" t="str">
        <f t="shared" si="15"/>
        <v>102</v>
      </c>
      <c r="R109" s="2" t="str">
        <f t="shared" si="16"/>
        <v>Neha</v>
      </c>
      <c r="S109" s="2" t="str">
        <f t="shared" si="17"/>
        <v>North</v>
      </c>
      <c r="T109" s="2" t="str">
        <f>IFERROR(VLOOKUP(D109,Product_Reference!$A$1:$F$26,2,0),"Not Found!!")</f>
        <v>Wireless Mouse</v>
      </c>
      <c r="U109" s="2" t="str">
        <f>IFERROR(VLOOKUP(D109,Product_Reference!$A$1:$F$26,3,0),"Not Found!!")</f>
        <v>Accessories</v>
      </c>
      <c r="V109" s="2" t="str">
        <f>IFERROR(VLOOKUP(D109,Product_Reference!$A$1:$F$26,4,0),"Not Found!!")</f>
        <v>ClickTech</v>
      </c>
      <c r="W109" s="2" t="str">
        <f>IFERROR(VLOOKUP(D109,Product_Reference!$A$1:$F$26,5,0),"Not Found!!")</f>
        <v>XYZ Ltd</v>
      </c>
      <c r="X109" s="2">
        <f>IFERROR(VLOOKUP(D109,Product_Reference!$A$1:$F$26,6,0),"Not Found!!")</f>
        <v>4.2</v>
      </c>
    </row>
    <row r="110" spans="1:24" x14ac:dyDescent="0.3">
      <c r="A110" s="2" t="s">
        <v>215</v>
      </c>
      <c r="B110" s="3">
        <v>46026</v>
      </c>
      <c r="C110" s="2" t="s">
        <v>117</v>
      </c>
      <c r="D110" s="2" t="s">
        <v>138</v>
      </c>
      <c r="E110" s="2">
        <v>4</v>
      </c>
      <c r="F110" s="2">
        <v>3000</v>
      </c>
      <c r="G110" s="2">
        <v>0.1</v>
      </c>
      <c r="H110" s="2" t="s">
        <v>35</v>
      </c>
      <c r="I110" s="2" t="s">
        <v>20</v>
      </c>
      <c r="J110" s="2" t="s">
        <v>21</v>
      </c>
      <c r="K110" s="8">
        <f t="shared" si="9"/>
        <v>12000</v>
      </c>
      <c r="L110" s="10">
        <f t="shared" si="10"/>
        <v>1200</v>
      </c>
      <c r="M110" s="13">
        <f t="shared" si="11"/>
        <v>10800</v>
      </c>
      <c r="N110" s="15" t="str">
        <f t="shared" si="12"/>
        <v>Low Value</v>
      </c>
      <c r="O110" s="17" t="str">
        <f t="shared" si="13"/>
        <v>Medium</v>
      </c>
      <c r="P110" s="2" t="str">
        <f t="shared" si="14"/>
        <v>056</v>
      </c>
      <c r="Q110" s="2" t="str">
        <f t="shared" si="15"/>
        <v>116</v>
      </c>
      <c r="R110" s="2" t="str">
        <f t="shared" si="16"/>
        <v>Amit</v>
      </c>
      <c r="S110" s="2" t="str">
        <f t="shared" si="17"/>
        <v>South</v>
      </c>
      <c r="T110" s="2" t="str">
        <f>IFERROR(VLOOKUP(D110,Product_Reference!$A$1:$F$26,2,0),"Not Found!!")</f>
        <v>Fitness Band</v>
      </c>
      <c r="U110" s="2" t="str">
        <f>IFERROR(VLOOKUP(D110,Product_Reference!$A$1:$F$26,3,0),"Not Found!!")</f>
        <v>Wearables</v>
      </c>
      <c r="V110" s="2" t="str">
        <f>IFERROR(VLOOKUP(D110,Product_Reference!$A$1:$F$26,4,0),"Not Found!!")</f>
        <v>FitTech</v>
      </c>
      <c r="W110" s="2" t="str">
        <f>IFERROR(VLOOKUP(D110,Product_Reference!$A$1:$F$26,5,0),"Not Found!!")</f>
        <v>XYZ Ltd</v>
      </c>
      <c r="X110" s="2">
        <f>IFERROR(VLOOKUP(D110,Product_Reference!$A$1:$F$26,6,0),"Not Found!!")</f>
        <v>3.7</v>
      </c>
    </row>
    <row r="111" spans="1:24" x14ac:dyDescent="0.3">
      <c r="A111" s="2" t="s">
        <v>216</v>
      </c>
      <c r="B111" s="3">
        <v>46041</v>
      </c>
      <c r="C111" s="2" t="s">
        <v>54</v>
      </c>
      <c r="D111" s="2" t="s">
        <v>49</v>
      </c>
      <c r="E111" s="2">
        <v>6</v>
      </c>
      <c r="F111" s="2">
        <v>650</v>
      </c>
      <c r="G111" s="2">
        <v>0.08</v>
      </c>
      <c r="H111" s="2" t="s">
        <v>19</v>
      </c>
      <c r="I111" s="2" t="s">
        <v>20</v>
      </c>
      <c r="J111" s="2" t="s">
        <v>15</v>
      </c>
      <c r="K111" s="8">
        <f t="shared" si="9"/>
        <v>3900</v>
      </c>
      <c r="L111" s="10">
        <f t="shared" si="10"/>
        <v>312</v>
      </c>
      <c r="M111" s="13">
        <f t="shared" si="11"/>
        <v>3588</v>
      </c>
      <c r="N111" s="15" t="str">
        <f t="shared" si="12"/>
        <v>Low Value</v>
      </c>
      <c r="O111" s="17" t="str">
        <f t="shared" si="13"/>
        <v>Medium</v>
      </c>
      <c r="P111" s="2" t="str">
        <f t="shared" si="14"/>
        <v>021</v>
      </c>
      <c r="Q111" s="2" t="str">
        <f t="shared" si="15"/>
        <v>118</v>
      </c>
      <c r="R111" s="2" t="str">
        <f t="shared" si="16"/>
        <v>Priya</v>
      </c>
      <c r="S111" s="2" t="str">
        <f t="shared" si="17"/>
        <v>South</v>
      </c>
      <c r="T111" s="2" t="str">
        <f>IFERROR(VLOOKUP(D111,Product_Reference!$A$1:$F$26,2,0),"Not Found!!")</f>
        <v>Mechanical Pencil Set</v>
      </c>
      <c r="U111" s="2" t="str">
        <f>IFERROR(VLOOKUP(D111,Product_Reference!$A$1:$F$26,3,0),"Not Found!!")</f>
        <v>Stationery</v>
      </c>
      <c r="V111" s="2" t="str">
        <f>IFERROR(VLOOKUP(D111,Product_Reference!$A$1:$F$26,4,0),"Not Found!!")</f>
        <v>WriteWell</v>
      </c>
      <c r="W111" s="2" t="str">
        <f>IFERROR(VLOOKUP(D111,Product_Reference!$A$1:$F$26,5,0),"Not Found!!")</f>
        <v>LMN Ltd</v>
      </c>
      <c r="X111" s="2">
        <f>IFERROR(VLOOKUP(D111,Product_Reference!$A$1:$F$26,6,0),"Not Found!!")</f>
        <v>4.3</v>
      </c>
    </row>
    <row r="112" spans="1:24" x14ac:dyDescent="0.3">
      <c r="A112" s="2" t="s">
        <v>217</v>
      </c>
      <c r="B112" s="3">
        <v>46023</v>
      </c>
      <c r="C112" s="2" t="s">
        <v>211</v>
      </c>
      <c r="D112" s="2" t="s">
        <v>24</v>
      </c>
      <c r="E112" s="2">
        <v>2</v>
      </c>
      <c r="F112" s="2">
        <v>5500</v>
      </c>
      <c r="G112" s="2">
        <v>0.15</v>
      </c>
      <c r="H112" s="2" t="s">
        <v>218</v>
      </c>
      <c r="I112" s="2" t="s">
        <v>26</v>
      </c>
      <c r="J112" s="2" t="s">
        <v>50</v>
      </c>
      <c r="K112" s="8">
        <f t="shared" si="9"/>
        <v>11000</v>
      </c>
      <c r="L112" s="10">
        <f t="shared" si="10"/>
        <v>1650</v>
      </c>
      <c r="M112" s="13">
        <f t="shared" si="11"/>
        <v>9350</v>
      </c>
      <c r="N112" s="15" t="str">
        <f t="shared" si="12"/>
        <v>Low Value</v>
      </c>
      <c r="O112" s="17" t="str">
        <f t="shared" si="13"/>
        <v>Medium</v>
      </c>
      <c r="P112" s="2" t="str">
        <f t="shared" si="14"/>
        <v>005</v>
      </c>
      <c r="Q112" s="2" t="str">
        <f t="shared" si="15"/>
        <v>122</v>
      </c>
      <c r="R112" s="2" t="str">
        <f t="shared" si="16"/>
        <v>Neha</v>
      </c>
      <c r="S112" s="2" t="str">
        <f t="shared" si="17"/>
        <v>West</v>
      </c>
      <c r="T112" s="2" t="str">
        <f>IFERROR(VLOOKUP(D112,Product_Reference!$A$1:$F$26,2,0),"Not Found!!")</f>
        <v>Router AX1800</v>
      </c>
      <c r="U112" s="2" t="str">
        <f>IFERROR(VLOOKUP(D112,Product_Reference!$A$1:$F$26,3,0),"Not Found!!")</f>
        <v>Networking</v>
      </c>
      <c r="V112" s="2" t="str">
        <f>IFERROR(VLOOKUP(D112,Product_Reference!$A$1:$F$26,4,0),"Not Found!!")</f>
        <v>NetLink</v>
      </c>
      <c r="W112" s="2" t="str">
        <f>IFERROR(VLOOKUP(D112,Product_Reference!$A$1:$F$26,5,0),"Not Found!!")</f>
        <v>ABC Ltd</v>
      </c>
      <c r="X112" s="2">
        <f>IFERROR(VLOOKUP(D112,Product_Reference!$A$1:$F$26,6,0),"Not Found!!")</f>
        <v>4.5</v>
      </c>
    </row>
    <row r="113" spans="1:24" x14ac:dyDescent="0.3">
      <c r="A113" s="2" t="s">
        <v>219</v>
      </c>
      <c r="B113" s="3">
        <v>46112</v>
      </c>
      <c r="C113" s="2" t="s">
        <v>220</v>
      </c>
      <c r="D113" s="2" t="s">
        <v>78</v>
      </c>
      <c r="E113" s="2">
        <v>1</v>
      </c>
      <c r="F113" s="2">
        <v>1200</v>
      </c>
      <c r="G113" s="2">
        <v>0.15</v>
      </c>
      <c r="H113" s="2" t="s">
        <v>19</v>
      </c>
      <c r="I113" s="2" t="s">
        <v>26</v>
      </c>
      <c r="J113" s="2" t="s">
        <v>31</v>
      </c>
      <c r="K113" s="8">
        <f t="shared" si="9"/>
        <v>1200</v>
      </c>
      <c r="L113" s="10">
        <f t="shared" si="10"/>
        <v>180</v>
      </c>
      <c r="M113" s="13">
        <f t="shared" si="11"/>
        <v>1020</v>
      </c>
      <c r="N113" s="15" t="str">
        <f t="shared" si="12"/>
        <v>Low Value</v>
      </c>
      <c r="O113" s="17" t="str">
        <f t="shared" si="13"/>
        <v>Medium</v>
      </c>
      <c r="P113" s="2" t="str">
        <f t="shared" si="14"/>
        <v>045</v>
      </c>
      <c r="Q113" s="2" t="str">
        <f t="shared" si="15"/>
        <v>102</v>
      </c>
      <c r="R113" s="2" t="str">
        <f t="shared" si="16"/>
        <v>Rahul</v>
      </c>
      <c r="S113" s="2" t="str">
        <f t="shared" si="17"/>
        <v>West</v>
      </c>
      <c r="T113" s="2" t="str">
        <f>IFERROR(VLOOKUP(D113,Product_Reference!$A$1:$F$26,2,0),"Not Found!!")</f>
        <v>Wireless Mouse</v>
      </c>
      <c r="U113" s="2" t="str">
        <f>IFERROR(VLOOKUP(D113,Product_Reference!$A$1:$F$26,3,0),"Not Found!!")</f>
        <v>Accessories</v>
      </c>
      <c r="V113" s="2" t="str">
        <f>IFERROR(VLOOKUP(D113,Product_Reference!$A$1:$F$26,4,0),"Not Found!!")</f>
        <v>ClickTech</v>
      </c>
      <c r="W113" s="2" t="str">
        <f>IFERROR(VLOOKUP(D113,Product_Reference!$A$1:$F$26,5,0),"Not Found!!")</f>
        <v>XYZ Ltd</v>
      </c>
      <c r="X113" s="2">
        <f>IFERROR(VLOOKUP(D113,Product_Reference!$A$1:$F$26,6,0),"Not Found!!")</f>
        <v>4.2</v>
      </c>
    </row>
    <row r="114" spans="1:24" x14ac:dyDescent="0.3">
      <c r="A114" s="2" t="s">
        <v>221</v>
      </c>
      <c r="B114" s="3">
        <v>46078</v>
      </c>
      <c r="C114" s="2" t="s">
        <v>153</v>
      </c>
      <c r="D114" s="2" t="s">
        <v>46</v>
      </c>
      <c r="E114" s="2">
        <v>5</v>
      </c>
      <c r="F114" s="2">
        <v>42000</v>
      </c>
      <c r="G114" s="2">
        <v>0.15</v>
      </c>
      <c r="H114" s="2" t="s">
        <v>19</v>
      </c>
      <c r="I114" s="2" t="s">
        <v>20</v>
      </c>
      <c r="J114" s="2" t="s">
        <v>37</v>
      </c>
      <c r="K114" s="8">
        <f t="shared" si="9"/>
        <v>210000</v>
      </c>
      <c r="L114" s="10">
        <f t="shared" si="10"/>
        <v>31500</v>
      </c>
      <c r="M114" s="13">
        <f t="shared" si="11"/>
        <v>178500</v>
      </c>
      <c r="N114" s="15" t="str">
        <f t="shared" si="12"/>
        <v>High Value</v>
      </c>
      <c r="O114" s="17" t="str">
        <f t="shared" si="13"/>
        <v>High</v>
      </c>
      <c r="P114" s="2" t="str">
        <f t="shared" si="14"/>
        <v>030</v>
      </c>
      <c r="Q114" s="2" t="str">
        <f t="shared" si="15"/>
        <v>115</v>
      </c>
      <c r="R114" s="2" t="str">
        <f t="shared" si="16"/>
        <v>Karan</v>
      </c>
      <c r="S114" s="2" t="str">
        <f t="shared" si="17"/>
        <v>South</v>
      </c>
      <c r="T114" s="2" t="str">
        <f>IFERROR(VLOOKUP(D114,Product_Reference!$A$1:$F$26,2,0),"Not Found!!")</f>
        <v>Smart TV 43</v>
      </c>
      <c r="U114" s="2" t="str">
        <f>IFERROR(VLOOKUP(D114,Product_Reference!$A$1:$F$26,3,0),"Not Found!!")</f>
        <v>Electronics</v>
      </c>
      <c r="V114" s="2" t="str">
        <f>IFERROR(VLOOKUP(D114,Product_Reference!$A$1:$F$26,4,0),"Not Found!!")</f>
        <v>ViewMax</v>
      </c>
      <c r="W114" s="2" t="str">
        <f>IFERROR(VLOOKUP(D114,Product_Reference!$A$1:$F$26,5,0),"Not Found!!")</f>
        <v>ABC Ltd</v>
      </c>
      <c r="X114" s="2">
        <f>IFERROR(VLOOKUP(D114,Product_Reference!$A$1:$F$26,6,0),"Not Found!!")</f>
        <v>4.5999999999999996</v>
      </c>
    </row>
    <row r="115" spans="1:24" x14ac:dyDescent="0.3">
      <c r="A115" s="2" t="s">
        <v>222</v>
      </c>
      <c r="B115" s="3">
        <v>46023</v>
      </c>
      <c r="C115" s="2" t="s">
        <v>85</v>
      </c>
      <c r="D115" s="2" t="s">
        <v>107</v>
      </c>
      <c r="E115" s="2">
        <v>6</v>
      </c>
      <c r="F115" s="2">
        <v>1800</v>
      </c>
      <c r="G115" s="2">
        <v>0.1</v>
      </c>
      <c r="H115" s="2" t="s">
        <v>13</v>
      </c>
      <c r="I115" s="2" t="s">
        <v>14</v>
      </c>
      <c r="J115" s="2" t="s">
        <v>27</v>
      </c>
      <c r="K115" s="8">
        <f t="shared" si="9"/>
        <v>10800</v>
      </c>
      <c r="L115" s="10">
        <f t="shared" si="10"/>
        <v>1080</v>
      </c>
      <c r="M115" s="13">
        <f t="shared" si="11"/>
        <v>9720</v>
      </c>
      <c r="N115" s="15" t="str">
        <f t="shared" si="12"/>
        <v>Low Value</v>
      </c>
      <c r="O115" s="17" t="str">
        <f t="shared" si="13"/>
        <v>Medium</v>
      </c>
      <c r="P115" s="2" t="str">
        <f t="shared" si="14"/>
        <v>008</v>
      </c>
      <c r="Q115" s="2" t="str">
        <f t="shared" si="15"/>
        <v>117</v>
      </c>
      <c r="R115" s="2" t="str">
        <f t="shared" si="16"/>
        <v>Sneha</v>
      </c>
      <c r="S115" s="2" t="str">
        <f t="shared" si="17"/>
        <v>East</v>
      </c>
      <c r="T115" s="2" t="str">
        <f>IFERROR(VLOOKUP(D115,Product_Reference!$A$1:$F$26,2,0),"Not Found!!")</f>
        <v>Laptop Stand</v>
      </c>
      <c r="U115" s="2" t="str">
        <f>IFERROR(VLOOKUP(D115,Product_Reference!$A$1:$F$26,3,0),"Not Found!!")</f>
        <v>Accessories</v>
      </c>
      <c r="V115" s="2" t="str">
        <f>IFERROR(VLOOKUP(D115,Product_Reference!$A$1:$F$26,4,0),"Not Found!!")</f>
        <v>ErgoTech</v>
      </c>
      <c r="W115" s="2" t="str">
        <f>IFERROR(VLOOKUP(D115,Product_Reference!$A$1:$F$26,5,0),"Not Found!!")</f>
        <v>PQR Ltd</v>
      </c>
      <c r="X115" s="2">
        <f>IFERROR(VLOOKUP(D115,Product_Reference!$A$1:$F$26,6,0),"Not Found!!")</f>
        <v>4</v>
      </c>
    </row>
    <row r="116" spans="1:24" x14ac:dyDescent="0.3">
      <c r="A116" s="2" t="s">
        <v>223</v>
      </c>
      <c r="B116" s="3">
        <v>46036</v>
      </c>
      <c r="C116" s="2" t="s">
        <v>42</v>
      </c>
      <c r="D116" s="2" t="s">
        <v>46</v>
      </c>
      <c r="E116" s="2">
        <v>4</v>
      </c>
      <c r="F116" s="2">
        <v>42000</v>
      </c>
      <c r="G116" s="2">
        <v>0.15</v>
      </c>
      <c r="H116" s="2" t="s">
        <v>13</v>
      </c>
      <c r="I116" s="2" t="s">
        <v>26</v>
      </c>
      <c r="J116" s="2" t="s">
        <v>15</v>
      </c>
      <c r="K116" s="8">
        <f t="shared" si="9"/>
        <v>168000</v>
      </c>
      <c r="L116" s="10">
        <f t="shared" si="10"/>
        <v>25200</v>
      </c>
      <c r="M116" s="13">
        <f t="shared" si="11"/>
        <v>142800</v>
      </c>
      <c r="N116" s="15" t="str">
        <f t="shared" si="12"/>
        <v>High Value</v>
      </c>
      <c r="O116" s="17" t="str">
        <f t="shared" si="13"/>
        <v>Medium</v>
      </c>
      <c r="P116" s="2" t="str">
        <f t="shared" si="14"/>
        <v>026</v>
      </c>
      <c r="Q116" s="2" t="str">
        <f t="shared" si="15"/>
        <v>115</v>
      </c>
      <c r="R116" s="2" t="str">
        <f t="shared" si="16"/>
        <v>Priya</v>
      </c>
      <c r="S116" s="2" t="str">
        <f t="shared" si="17"/>
        <v>West</v>
      </c>
      <c r="T116" s="2" t="str">
        <f>IFERROR(VLOOKUP(D116,Product_Reference!$A$1:$F$26,2,0),"Not Found!!")</f>
        <v>Smart TV 43</v>
      </c>
      <c r="U116" s="2" t="str">
        <f>IFERROR(VLOOKUP(D116,Product_Reference!$A$1:$F$26,3,0),"Not Found!!")</f>
        <v>Electronics</v>
      </c>
      <c r="V116" s="2" t="str">
        <f>IFERROR(VLOOKUP(D116,Product_Reference!$A$1:$F$26,4,0),"Not Found!!")</f>
        <v>ViewMax</v>
      </c>
      <c r="W116" s="2" t="str">
        <f>IFERROR(VLOOKUP(D116,Product_Reference!$A$1:$F$26,5,0),"Not Found!!")</f>
        <v>ABC Ltd</v>
      </c>
      <c r="X116" s="2">
        <f>IFERROR(VLOOKUP(D116,Product_Reference!$A$1:$F$26,6,0),"Not Found!!")</f>
        <v>4.5999999999999996</v>
      </c>
    </row>
    <row r="117" spans="1:24" x14ac:dyDescent="0.3">
      <c r="A117" s="2" t="s">
        <v>224</v>
      </c>
      <c r="B117" s="3">
        <v>46081</v>
      </c>
      <c r="C117" s="2" t="s">
        <v>117</v>
      </c>
      <c r="D117" s="2" t="s">
        <v>74</v>
      </c>
      <c r="E117" s="2">
        <v>6</v>
      </c>
      <c r="F117" s="2">
        <v>5500</v>
      </c>
      <c r="G117" s="2">
        <v>0.15</v>
      </c>
      <c r="H117" s="2" t="s">
        <v>19</v>
      </c>
      <c r="I117" s="2" t="s">
        <v>36</v>
      </c>
      <c r="J117" s="2" t="s">
        <v>50</v>
      </c>
      <c r="K117" s="8">
        <f t="shared" si="9"/>
        <v>33000</v>
      </c>
      <c r="L117" s="10">
        <f t="shared" si="10"/>
        <v>4950</v>
      </c>
      <c r="M117" s="13">
        <f t="shared" si="11"/>
        <v>28050</v>
      </c>
      <c r="N117" s="15" t="str">
        <f t="shared" si="12"/>
        <v>Medium Value</v>
      </c>
      <c r="O117" s="17" t="str">
        <f t="shared" si="13"/>
        <v>High</v>
      </c>
      <c r="P117" s="2" t="str">
        <f t="shared" si="14"/>
        <v>056</v>
      </c>
      <c r="Q117" s="2" t="str">
        <f t="shared" si="15"/>
        <v>113</v>
      </c>
      <c r="R117" s="2" t="str">
        <f t="shared" si="16"/>
        <v>Neha</v>
      </c>
      <c r="S117" s="2" t="str">
        <f t="shared" si="17"/>
        <v>North</v>
      </c>
      <c r="T117" s="2" t="str">
        <f>IFERROR(VLOOKUP(D117,Product_Reference!$A$1:$F$26,2,0),"Not Found!!")</f>
        <v>Wireless Earbuds</v>
      </c>
      <c r="U117" s="2" t="str">
        <f>IFERROR(VLOOKUP(D117,Product_Reference!$A$1:$F$26,3,0),"Not Found!!")</f>
        <v>Audio</v>
      </c>
      <c r="V117" s="2" t="str">
        <f>IFERROR(VLOOKUP(D117,Product_Reference!$A$1:$F$26,4,0),"Not Found!!")</f>
        <v>SoundMax</v>
      </c>
      <c r="W117" s="2" t="str">
        <f>IFERROR(VLOOKUP(D117,Product_Reference!$A$1:$F$26,5,0),"Not Found!!")</f>
        <v>LMN Ltd</v>
      </c>
      <c r="X117" s="2">
        <f>IFERROR(VLOOKUP(D117,Product_Reference!$A$1:$F$26,6,0),"Not Found!!")</f>
        <v>4.4000000000000004</v>
      </c>
    </row>
    <row r="118" spans="1:24" x14ac:dyDescent="0.3">
      <c r="A118" s="2" t="s">
        <v>225</v>
      </c>
      <c r="B118" s="3">
        <v>46060</v>
      </c>
      <c r="C118" s="2" t="s">
        <v>63</v>
      </c>
      <c r="D118" s="2" t="s">
        <v>199</v>
      </c>
      <c r="E118" s="2">
        <v>1</v>
      </c>
      <c r="F118" s="2">
        <v>18000</v>
      </c>
      <c r="G118" s="2">
        <v>0.05</v>
      </c>
      <c r="H118" s="2" t="s">
        <v>19</v>
      </c>
      <c r="I118" s="2" t="s">
        <v>20</v>
      </c>
      <c r="J118" s="2" t="s">
        <v>31</v>
      </c>
      <c r="K118" s="8">
        <f t="shared" si="9"/>
        <v>18000</v>
      </c>
      <c r="L118" s="10">
        <f t="shared" si="10"/>
        <v>900</v>
      </c>
      <c r="M118" s="13">
        <f t="shared" si="11"/>
        <v>17100</v>
      </c>
      <c r="N118" s="15" t="str">
        <f t="shared" si="12"/>
        <v>Low Value</v>
      </c>
      <c r="O118" s="17" t="str">
        <f t="shared" si="13"/>
        <v>Low</v>
      </c>
      <c r="P118" s="2" t="str">
        <f t="shared" si="14"/>
        <v>035</v>
      </c>
      <c r="Q118" s="2" t="str">
        <f t="shared" si="15"/>
        <v>111</v>
      </c>
      <c r="R118" s="2" t="str">
        <f t="shared" si="16"/>
        <v>Rahul</v>
      </c>
      <c r="S118" s="2" t="str">
        <f t="shared" si="17"/>
        <v>South</v>
      </c>
      <c r="T118" s="2" t="str">
        <f>IFERROR(VLOOKUP(D118,Product_Reference!$A$1:$F$26,2,0),"Not Found!!")</f>
        <v>Gaming Monitor 24</v>
      </c>
      <c r="U118" s="2" t="str">
        <f>IFERROR(VLOOKUP(D118,Product_Reference!$A$1:$F$26,3,0),"Not Found!!")</f>
        <v>Electronics</v>
      </c>
      <c r="V118" s="2" t="str">
        <f>IFERROR(VLOOKUP(D118,Product_Reference!$A$1:$F$26,4,0),"Not Found!!")</f>
        <v>ViewMax</v>
      </c>
      <c r="W118" s="2" t="str">
        <f>IFERROR(VLOOKUP(D118,Product_Reference!$A$1:$F$26,5,0),"Not Found!!")</f>
        <v>XYZ Ltd</v>
      </c>
      <c r="X118" s="2">
        <f>IFERROR(VLOOKUP(D118,Product_Reference!$A$1:$F$26,6,0),"Not Found!!")</f>
        <v>4.2</v>
      </c>
    </row>
    <row r="119" spans="1:24" x14ac:dyDescent="0.3">
      <c r="A119" s="2" t="s">
        <v>226</v>
      </c>
      <c r="B119" s="3">
        <v>46096</v>
      </c>
      <c r="C119" s="2" t="s">
        <v>39</v>
      </c>
      <c r="D119" s="2" t="s">
        <v>55</v>
      </c>
      <c r="E119" s="2">
        <v>2</v>
      </c>
      <c r="F119" s="2">
        <v>2800</v>
      </c>
      <c r="G119" s="2">
        <v>0.1</v>
      </c>
      <c r="H119" s="2" t="s">
        <v>19</v>
      </c>
      <c r="I119" s="2" t="s">
        <v>36</v>
      </c>
      <c r="J119" s="2" t="s">
        <v>50</v>
      </c>
      <c r="K119" s="8">
        <f t="shared" si="9"/>
        <v>5600</v>
      </c>
      <c r="L119" s="10">
        <f t="shared" si="10"/>
        <v>560</v>
      </c>
      <c r="M119" s="13">
        <f t="shared" si="11"/>
        <v>5040</v>
      </c>
      <c r="N119" s="15" t="str">
        <f t="shared" si="12"/>
        <v>Low Value</v>
      </c>
      <c r="O119" s="17" t="str">
        <f t="shared" si="13"/>
        <v>Medium</v>
      </c>
      <c r="P119" s="2" t="str">
        <f t="shared" si="14"/>
        <v>039</v>
      </c>
      <c r="Q119" s="2" t="str">
        <f t="shared" si="15"/>
        <v>123</v>
      </c>
      <c r="R119" s="2" t="str">
        <f t="shared" si="16"/>
        <v>Neha</v>
      </c>
      <c r="S119" s="2" t="str">
        <f t="shared" si="17"/>
        <v>North</v>
      </c>
      <c r="T119" s="2" t="str">
        <f>IFERROR(VLOOKUP(D119,Product_Reference!$A$1:$F$26,2,0),"Not Found!!")</f>
        <v>Wi-Fi Range Extender</v>
      </c>
      <c r="U119" s="2" t="str">
        <f>IFERROR(VLOOKUP(D119,Product_Reference!$A$1:$F$26,3,0),"Not Found!!")</f>
        <v>Networking</v>
      </c>
      <c r="V119" s="2" t="str">
        <f>IFERROR(VLOOKUP(D119,Product_Reference!$A$1:$F$26,4,0),"Not Found!!")</f>
        <v>NetLink</v>
      </c>
      <c r="W119" s="2" t="str">
        <f>IFERROR(VLOOKUP(D119,Product_Reference!$A$1:$F$26,5,0),"Not Found!!")</f>
        <v>XYZ Ltd</v>
      </c>
      <c r="X119" s="2">
        <f>IFERROR(VLOOKUP(D119,Product_Reference!$A$1:$F$26,6,0),"Not Found!!")</f>
        <v>4</v>
      </c>
    </row>
    <row r="120" spans="1:24" x14ac:dyDescent="0.3">
      <c r="A120" s="2" t="s">
        <v>227</v>
      </c>
      <c r="B120" s="3">
        <v>46035</v>
      </c>
      <c r="C120" s="2" t="s">
        <v>98</v>
      </c>
      <c r="D120" s="2" t="s">
        <v>81</v>
      </c>
      <c r="E120" s="2">
        <v>5</v>
      </c>
      <c r="F120" s="2">
        <v>3200</v>
      </c>
      <c r="G120" s="2">
        <v>0</v>
      </c>
      <c r="H120" s="2" t="s">
        <v>35</v>
      </c>
      <c r="I120" s="2" t="s">
        <v>26</v>
      </c>
      <c r="J120" s="2" t="s">
        <v>21</v>
      </c>
      <c r="K120" s="8">
        <f t="shared" si="9"/>
        <v>16000</v>
      </c>
      <c r="L120" s="10">
        <f t="shared" si="10"/>
        <v>0</v>
      </c>
      <c r="M120" s="13">
        <f t="shared" si="11"/>
        <v>16000</v>
      </c>
      <c r="N120" s="15" t="str">
        <f t="shared" si="12"/>
        <v>Low Value</v>
      </c>
      <c r="O120" s="17" t="str">
        <f t="shared" si="13"/>
        <v>Medium</v>
      </c>
      <c r="P120" s="2" t="str">
        <f t="shared" si="14"/>
        <v>020</v>
      </c>
      <c r="Q120" s="2" t="str">
        <f t="shared" si="15"/>
        <v>112</v>
      </c>
      <c r="R120" s="2" t="str">
        <f t="shared" si="16"/>
        <v>Amit</v>
      </c>
      <c r="S120" s="2" t="str">
        <f t="shared" si="17"/>
        <v>West</v>
      </c>
      <c r="T120" s="2" t="str">
        <f>IFERROR(VLOOKUP(D120,Product_Reference!$A$1:$F$26,2,0),"Not Found!!")</f>
        <v>Webcam HD</v>
      </c>
      <c r="U120" s="2" t="str">
        <f>IFERROR(VLOOKUP(D120,Product_Reference!$A$1:$F$26,3,0),"Not Found!!")</f>
        <v>Accessories</v>
      </c>
      <c r="V120" s="2" t="str">
        <f>IFERROR(VLOOKUP(D120,Product_Reference!$A$1:$F$26,4,0),"Not Found!!")</f>
        <v>VisionTech</v>
      </c>
      <c r="W120" s="2" t="str">
        <f>IFERROR(VLOOKUP(D120,Product_Reference!$A$1:$F$26,5,0),"Not Found!!")</f>
        <v>ABC Ltd</v>
      </c>
      <c r="X120" s="2">
        <f>IFERROR(VLOOKUP(D120,Product_Reference!$A$1:$F$26,6,0),"Not Found!!")</f>
        <v>3.8</v>
      </c>
    </row>
    <row r="121" spans="1:24" x14ac:dyDescent="0.3">
      <c r="A121" s="2" t="s">
        <v>228</v>
      </c>
      <c r="B121" s="3">
        <v>46108</v>
      </c>
      <c r="C121" s="2" t="s">
        <v>229</v>
      </c>
      <c r="D121" s="2" t="s">
        <v>230</v>
      </c>
      <c r="E121" s="2">
        <v>1</v>
      </c>
      <c r="F121" s="2">
        <v>8500</v>
      </c>
      <c r="G121" s="2">
        <v>0.18</v>
      </c>
      <c r="H121" s="2" t="s">
        <v>35</v>
      </c>
      <c r="I121" s="2" t="s">
        <v>20</v>
      </c>
      <c r="J121" s="2" t="s">
        <v>31</v>
      </c>
      <c r="K121" s="8">
        <f t="shared" si="9"/>
        <v>8500</v>
      </c>
      <c r="L121" s="10">
        <f t="shared" si="10"/>
        <v>1530</v>
      </c>
      <c r="M121" s="13">
        <f t="shared" si="11"/>
        <v>6970</v>
      </c>
      <c r="N121" s="15" t="str">
        <f t="shared" si="12"/>
        <v>Low Value</v>
      </c>
      <c r="O121" s="17" t="str">
        <f t="shared" si="13"/>
        <v>Medium</v>
      </c>
      <c r="P121" s="2" t="str">
        <f t="shared" si="14"/>
        <v>034</v>
      </c>
      <c r="Q121" s="2" t="str">
        <f t="shared" si="15"/>
        <v>108</v>
      </c>
      <c r="R121" s="2" t="str">
        <f t="shared" si="16"/>
        <v>Rahul</v>
      </c>
      <c r="S121" s="2" t="str">
        <f t="shared" si="17"/>
        <v>South</v>
      </c>
      <c r="T121" s="2" t="str">
        <f>IFERROR(VLOOKUP(D121,Product_Reference!$A$1:$F$26,2,0),"Not Found!!")</f>
        <v>Not Found!!</v>
      </c>
      <c r="U121" s="2" t="str">
        <f>IFERROR(VLOOKUP(D121,Product_Reference!$A$1:$F$26,3,0),"Not Found!!")</f>
        <v>Not Found!!</v>
      </c>
      <c r="V121" s="2" t="str">
        <f>IFERROR(VLOOKUP(D121,Product_Reference!$A$1:$F$26,4,0),"Not Found!!")</f>
        <v>Not Found!!</v>
      </c>
      <c r="W121" s="2" t="str">
        <f>IFERROR(VLOOKUP(D121,Product_Reference!$A$1:$F$26,5,0),"Not Found!!")</f>
        <v>Not Found!!</v>
      </c>
      <c r="X121" s="2" t="str">
        <f>IFERROR(VLOOKUP(D121,Product_Reference!$A$1:$F$26,6,0),"Not Found!!")</f>
        <v>Not Found!!</v>
      </c>
    </row>
    <row r="122" spans="1:24" x14ac:dyDescent="0.3">
      <c r="A122" s="2" t="s">
        <v>231</v>
      </c>
      <c r="B122" s="3">
        <v>46063</v>
      </c>
      <c r="C122" s="2" t="s">
        <v>232</v>
      </c>
      <c r="D122" s="2" t="s">
        <v>81</v>
      </c>
      <c r="E122" s="2">
        <v>1</v>
      </c>
      <c r="F122" s="2">
        <v>3200</v>
      </c>
      <c r="G122" s="2">
        <v>0.05</v>
      </c>
      <c r="H122" s="2" t="s">
        <v>19</v>
      </c>
      <c r="I122" s="2" t="s">
        <v>26</v>
      </c>
      <c r="J122" s="2" t="s">
        <v>15</v>
      </c>
      <c r="K122" s="8">
        <f t="shared" si="9"/>
        <v>3200</v>
      </c>
      <c r="L122" s="10">
        <f t="shared" si="10"/>
        <v>160</v>
      </c>
      <c r="M122" s="13">
        <f t="shared" si="11"/>
        <v>3040</v>
      </c>
      <c r="N122" s="15" t="str">
        <f t="shared" si="12"/>
        <v>Low Value</v>
      </c>
      <c r="O122" s="17" t="str">
        <f t="shared" si="13"/>
        <v>Low</v>
      </c>
      <c r="P122" s="2" t="str">
        <f t="shared" si="14"/>
        <v>037</v>
      </c>
      <c r="Q122" s="2" t="str">
        <f t="shared" si="15"/>
        <v>112</v>
      </c>
      <c r="R122" s="2" t="str">
        <f t="shared" si="16"/>
        <v>Priya</v>
      </c>
      <c r="S122" s="2" t="str">
        <f t="shared" si="17"/>
        <v>West</v>
      </c>
      <c r="T122" s="2" t="str">
        <f>IFERROR(VLOOKUP(D122,Product_Reference!$A$1:$F$26,2,0),"Not Found!!")</f>
        <v>Webcam HD</v>
      </c>
      <c r="U122" s="2" t="str">
        <f>IFERROR(VLOOKUP(D122,Product_Reference!$A$1:$F$26,3,0),"Not Found!!")</f>
        <v>Accessories</v>
      </c>
      <c r="V122" s="2" t="str">
        <f>IFERROR(VLOOKUP(D122,Product_Reference!$A$1:$F$26,4,0),"Not Found!!")</f>
        <v>VisionTech</v>
      </c>
      <c r="W122" s="2" t="str">
        <f>IFERROR(VLOOKUP(D122,Product_Reference!$A$1:$F$26,5,0),"Not Found!!")</f>
        <v>ABC Ltd</v>
      </c>
      <c r="X122" s="2">
        <f>IFERROR(VLOOKUP(D122,Product_Reference!$A$1:$F$26,6,0),"Not Found!!")</f>
        <v>3.8</v>
      </c>
    </row>
    <row r="123" spans="1:24" x14ac:dyDescent="0.3">
      <c r="A123" s="2" t="s">
        <v>233</v>
      </c>
      <c r="B123" s="3">
        <v>46055</v>
      </c>
      <c r="C123" s="2" t="s">
        <v>173</v>
      </c>
      <c r="D123" s="2" t="s">
        <v>58</v>
      </c>
      <c r="E123" s="2">
        <v>3</v>
      </c>
      <c r="F123" s="2">
        <v>2500</v>
      </c>
      <c r="G123" s="2">
        <v>0.12</v>
      </c>
      <c r="H123" s="2" t="s">
        <v>19</v>
      </c>
      <c r="I123" s="2" t="s">
        <v>26</v>
      </c>
      <c r="J123" s="2" t="s">
        <v>50</v>
      </c>
      <c r="K123" s="8">
        <f t="shared" si="9"/>
        <v>7500</v>
      </c>
      <c r="L123" s="10">
        <f t="shared" si="10"/>
        <v>900</v>
      </c>
      <c r="M123" s="13">
        <f t="shared" si="11"/>
        <v>6600</v>
      </c>
      <c r="N123" s="15" t="str">
        <f t="shared" si="12"/>
        <v>Low Value</v>
      </c>
      <c r="O123" s="17" t="str">
        <f t="shared" si="13"/>
        <v>Medium</v>
      </c>
      <c r="P123" s="2" t="str">
        <f t="shared" si="14"/>
        <v>053</v>
      </c>
      <c r="Q123" s="2" t="str">
        <f t="shared" si="15"/>
        <v>124</v>
      </c>
      <c r="R123" s="2" t="str">
        <f t="shared" si="16"/>
        <v>Neha</v>
      </c>
      <c r="S123" s="2" t="str">
        <f t="shared" si="17"/>
        <v>West</v>
      </c>
      <c r="T123" s="2" t="str">
        <f>IFERROR(VLOOKUP(D123,Product_Reference!$A$1:$F$26,2,0),"Not Found!!")</f>
        <v>Tablet Keyboard</v>
      </c>
      <c r="U123" s="2" t="str">
        <f>IFERROR(VLOOKUP(D123,Product_Reference!$A$1:$F$26,3,0),"Not Found!!")</f>
        <v>Accessories</v>
      </c>
      <c r="V123" s="2" t="str">
        <f>IFERROR(VLOOKUP(D123,Product_Reference!$A$1:$F$26,4,0),"Not Found!!")</f>
        <v>KeyMaster</v>
      </c>
      <c r="W123" s="2" t="str">
        <f>IFERROR(VLOOKUP(D123,Product_Reference!$A$1:$F$26,5,0),"Not Found!!")</f>
        <v>PQR Ltd</v>
      </c>
      <c r="X123" s="2">
        <f>IFERROR(VLOOKUP(D123,Product_Reference!$A$1:$F$26,6,0),"Not Found!!")</f>
        <v>3.8</v>
      </c>
    </row>
    <row r="124" spans="1:24" x14ac:dyDescent="0.3">
      <c r="A124" s="2" t="s">
        <v>234</v>
      </c>
      <c r="B124" s="3">
        <v>46097</v>
      </c>
      <c r="C124" s="2" t="s">
        <v>153</v>
      </c>
      <c r="D124" s="2" t="s">
        <v>55</v>
      </c>
      <c r="E124" s="2">
        <v>2</v>
      </c>
      <c r="F124" s="2">
        <v>2800</v>
      </c>
      <c r="G124" s="2">
        <v>0.15</v>
      </c>
      <c r="H124" s="2" t="s">
        <v>19</v>
      </c>
      <c r="I124" s="2" t="s">
        <v>36</v>
      </c>
      <c r="J124" s="2" t="s">
        <v>31</v>
      </c>
      <c r="K124" s="8">
        <f t="shared" si="9"/>
        <v>5600</v>
      </c>
      <c r="L124" s="10">
        <f t="shared" si="10"/>
        <v>840</v>
      </c>
      <c r="M124" s="13">
        <f t="shared" si="11"/>
        <v>4760</v>
      </c>
      <c r="N124" s="15" t="str">
        <f t="shared" si="12"/>
        <v>Low Value</v>
      </c>
      <c r="O124" s="17" t="str">
        <f t="shared" si="13"/>
        <v>Medium</v>
      </c>
      <c r="P124" s="2" t="str">
        <f t="shared" si="14"/>
        <v>030</v>
      </c>
      <c r="Q124" s="2" t="str">
        <f t="shared" si="15"/>
        <v>123</v>
      </c>
      <c r="R124" s="2" t="str">
        <f t="shared" si="16"/>
        <v>Rahul</v>
      </c>
      <c r="S124" s="2" t="str">
        <f t="shared" si="17"/>
        <v>North</v>
      </c>
      <c r="T124" s="2" t="str">
        <f>IFERROR(VLOOKUP(D124,Product_Reference!$A$1:$F$26,2,0),"Not Found!!")</f>
        <v>Wi-Fi Range Extender</v>
      </c>
      <c r="U124" s="2" t="str">
        <f>IFERROR(VLOOKUP(D124,Product_Reference!$A$1:$F$26,3,0),"Not Found!!")</f>
        <v>Networking</v>
      </c>
      <c r="V124" s="2" t="str">
        <f>IFERROR(VLOOKUP(D124,Product_Reference!$A$1:$F$26,4,0),"Not Found!!")</f>
        <v>NetLink</v>
      </c>
      <c r="W124" s="2" t="str">
        <f>IFERROR(VLOOKUP(D124,Product_Reference!$A$1:$F$26,5,0),"Not Found!!")</f>
        <v>XYZ Ltd</v>
      </c>
      <c r="X124" s="2">
        <f>IFERROR(VLOOKUP(D124,Product_Reference!$A$1:$F$26,6,0),"Not Found!!")</f>
        <v>4</v>
      </c>
    </row>
    <row r="125" spans="1:24" x14ac:dyDescent="0.3">
      <c r="A125" s="2" t="s">
        <v>235</v>
      </c>
      <c r="B125" s="3">
        <v>46053</v>
      </c>
      <c r="C125" s="2" t="s">
        <v>178</v>
      </c>
      <c r="D125" s="2" t="s">
        <v>55</v>
      </c>
      <c r="E125" s="2">
        <v>1</v>
      </c>
      <c r="F125" s="2">
        <v>2800</v>
      </c>
      <c r="G125" s="2">
        <v>0.08</v>
      </c>
      <c r="H125" s="2" t="s">
        <v>35</v>
      </c>
      <c r="I125" s="2" t="s">
        <v>20</v>
      </c>
      <c r="J125" s="2" t="s">
        <v>50</v>
      </c>
      <c r="K125" s="8">
        <f t="shared" si="9"/>
        <v>2800</v>
      </c>
      <c r="L125" s="10">
        <f t="shared" si="10"/>
        <v>224</v>
      </c>
      <c r="M125" s="13">
        <f t="shared" si="11"/>
        <v>2576</v>
      </c>
      <c r="N125" s="15" t="str">
        <f t="shared" si="12"/>
        <v>Low Value</v>
      </c>
      <c r="O125" s="17" t="str">
        <f t="shared" si="13"/>
        <v>Low</v>
      </c>
      <c r="P125" s="2" t="str">
        <f t="shared" si="14"/>
        <v>040</v>
      </c>
      <c r="Q125" s="2" t="str">
        <f t="shared" si="15"/>
        <v>123</v>
      </c>
      <c r="R125" s="2" t="str">
        <f t="shared" si="16"/>
        <v>Neha</v>
      </c>
      <c r="S125" s="2" t="str">
        <f t="shared" si="17"/>
        <v>South</v>
      </c>
      <c r="T125" s="2" t="str">
        <f>IFERROR(VLOOKUP(D125,Product_Reference!$A$1:$F$26,2,0),"Not Found!!")</f>
        <v>Wi-Fi Range Extender</v>
      </c>
      <c r="U125" s="2" t="str">
        <f>IFERROR(VLOOKUP(D125,Product_Reference!$A$1:$F$26,3,0),"Not Found!!")</f>
        <v>Networking</v>
      </c>
      <c r="V125" s="2" t="str">
        <f>IFERROR(VLOOKUP(D125,Product_Reference!$A$1:$F$26,4,0),"Not Found!!")</f>
        <v>NetLink</v>
      </c>
      <c r="W125" s="2" t="str">
        <f>IFERROR(VLOOKUP(D125,Product_Reference!$A$1:$F$26,5,0),"Not Found!!")</f>
        <v>XYZ Ltd</v>
      </c>
      <c r="X125" s="2">
        <f>IFERROR(VLOOKUP(D125,Product_Reference!$A$1:$F$26,6,0),"Not Found!!")</f>
        <v>4</v>
      </c>
    </row>
    <row r="126" spans="1:24" x14ac:dyDescent="0.3">
      <c r="A126" s="2" t="s">
        <v>236</v>
      </c>
      <c r="B126" s="3">
        <v>46097</v>
      </c>
      <c r="C126" s="2" t="s">
        <v>237</v>
      </c>
      <c r="D126" s="2" t="s">
        <v>78</v>
      </c>
      <c r="E126" s="2">
        <v>2</v>
      </c>
      <c r="F126" s="2">
        <v>1200</v>
      </c>
      <c r="G126" s="2">
        <v>0.1</v>
      </c>
      <c r="H126" s="2" t="s">
        <v>19</v>
      </c>
      <c r="I126" s="2" t="s">
        <v>26</v>
      </c>
      <c r="J126" s="2" t="s">
        <v>31</v>
      </c>
      <c r="K126" s="8">
        <f t="shared" si="9"/>
        <v>2400</v>
      </c>
      <c r="L126" s="10">
        <f t="shared" si="10"/>
        <v>240</v>
      </c>
      <c r="M126" s="13">
        <f t="shared" si="11"/>
        <v>2160</v>
      </c>
      <c r="N126" s="15" t="str">
        <f t="shared" si="12"/>
        <v>Low Value</v>
      </c>
      <c r="O126" s="17" t="str">
        <f t="shared" si="13"/>
        <v>Medium</v>
      </c>
      <c r="P126" s="2" t="str">
        <f t="shared" si="14"/>
        <v>004</v>
      </c>
      <c r="Q126" s="2" t="str">
        <f t="shared" si="15"/>
        <v>102</v>
      </c>
      <c r="R126" s="2" t="str">
        <f t="shared" si="16"/>
        <v>Rahul</v>
      </c>
      <c r="S126" s="2" t="str">
        <f t="shared" si="17"/>
        <v>West</v>
      </c>
      <c r="T126" s="2" t="str">
        <f>IFERROR(VLOOKUP(D126,Product_Reference!$A$1:$F$26,2,0),"Not Found!!")</f>
        <v>Wireless Mouse</v>
      </c>
      <c r="U126" s="2" t="str">
        <f>IFERROR(VLOOKUP(D126,Product_Reference!$A$1:$F$26,3,0),"Not Found!!")</f>
        <v>Accessories</v>
      </c>
      <c r="V126" s="2" t="str">
        <f>IFERROR(VLOOKUP(D126,Product_Reference!$A$1:$F$26,4,0),"Not Found!!")</f>
        <v>ClickTech</v>
      </c>
      <c r="W126" s="2" t="str">
        <f>IFERROR(VLOOKUP(D126,Product_Reference!$A$1:$F$26,5,0),"Not Found!!")</f>
        <v>XYZ Ltd</v>
      </c>
      <c r="X126" s="2">
        <f>IFERROR(VLOOKUP(D126,Product_Reference!$A$1:$F$26,6,0),"Not Found!!")</f>
        <v>4.2</v>
      </c>
    </row>
    <row r="127" spans="1:24" x14ac:dyDescent="0.3">
      <c r="A127" s="2" t="s">
        <v>238</v>
      </c>
      <c r="B127" s="3">
        <v>46084</v>
      </c>
      <c r="C127" s="2" t="s">
        <v>77</v>
      </c>
      <c r="D127" s="2" t="s">
        <v>58</v>
      </c>
      <c r="E127" s="2">
        <v>3</v>
      </c>
      <c r="F127" s="2">
        <v>2500</v>
      </c>
      <c r="G127" s="2">
        <v>0.08</v>
      </c>
      <c r="H127" s="2" t="s">
        <v>35</v>
      </c>
      <c r="I127" s="2" t="s">
        <v>36</v>
      </c>
      <c r="J127" s="2" t="s">
        <v>15</v>
      </c>
      <c r="K127" s="8">
        <f t="shared" si="9"/>
        <v>7500</v>
      </c>
      <c r="L127" s="10">
        <f t="shared" si="10"/>
        <v>600</v>
      </c>
      <c r="M127" s="13">
        <f t="shared" si="11"/>
        <v>6900</v>
      </c>
      <c r="N127" s="15" t="str">
        <f t="shared" si="12"/>
        <v>Low Value</v>
      </c>
      <c r="O127" s="17" t="str">
        <f t="shared" si="13"/>
        <v>Medium</v>
      </c>
      <c r="P127" s="2" t="str">
        <f t="shared" si="14"/>
        <v>057</v>
      </c>
      <c r="Q127" s="2" t="str">
        <f t="shared" si="15"/>
        <v>124</v>
      </c>
      <c r="R127" s="2" t="str">
        <f t="shared" si="16"/>
        <v>Priya</v>
      </c>
      <c r="S127" s="2" t="str">
        <f t="shared" si="17"/>
        <v>North</v>
      </c>
      <c r="T127" s="2" t="str">
        <f>IFERROR(VLOOKUP(D127,Product_Reference!$A$1:$F$26,2,0),"Not Found!!")</f>
        <v>Tablet Keyboard</v>
      </c>
      <c r="U127" s="2" t="str">
        <f>IFERROR(VLOOKUP(D127,Product_Reference!$A$1:$F$26,3,0),"Not Found!!")</f>
        <v>Accessories</v>
      </c>
      <c r="V127" s="2" t="str">
        <f>IFERROR(VLOOKUP(D127,Product_Reference!$A$1:$F$26,4,0),"Not Found!!")</f>
        <v>KeyMaster</v>
      </c>
      <c r="W127" s="2" t="str">
        <f>IFERROR(VLOOKUP(D127,Product_Reference!$A$1:$F$26,5,0),"Not Found!!")</f>
        <v>PQR Ltd</v>
      </c>
      <c r="X127" s="2">
        <f>IFERROR(VLOOKUP(D127,Product_Reference!$A$1:$F$26,6,0),"Not Found!!")</f>
        <v>3.8</v>
      </c>
    </row>
    <row r="128" spans="1:24" x14ac:dyDescent="0.3">
      <c r="A128" s="2" t="s">
        <v>239</v>
      </c>
      <c r="B128" s="3">
        <v>46048</v>
      </c>
      <c r="C128" s="2" t="s">
        <v>121</v>
      </c>
      <c r="D128" s="2" t="s">
        <v>18</v>
      </c>
      <c r="E128" s="2">
        <v>2</v>
      </c>
      <c r="F128" s="2">
        <v>12500</v>
      </c>
      <c r="G128" s="2">
        <v>0.15</v>
      </c>
      <c r="H128" s="2" t="s">
        <v>240</v>
      </c>
      <c r="I128" s="2" t="s">
        <v>20</v>
      </c>
      <c r="J128" s="2" t="s">
        <v>31</v>
      </c>
      <c r="K128" s="8">
        <f t="shared" si="9"/>
        <v>25000</v>
      </c>
      <c r="L128" s="10">
        <f t="shared" si="10"/>
        <v>3750</v>
      </c>
      <c r="M128" s="13">
        <f t="shared" si="11"/>
        <v>21250</v>
      </c>
      <c r="N128" s="15" t="str">
        <f t="shared" si="12"/>
        <v>Medium Value</v>
      </c>
      <c r="O128" s="17" t="str">
        <f t="shared" si="13"/>
        <v>Medium</v>
      </c>
      <c r="P128" s="2" t="str">
        <f t="shared" si="14"/>
        <v>054</v>
      </c>
      <c r="Q128" s="2" t="str">
        <f t="shared" si="15"/>
        <v>119</v>
      </c>
      <c r="R128" s="2" t="str">
        <f t="shared" si="16"/>
        <v>Rahul</v>
      </c>
      <c r="S128" s="2" t="str">
        <f t="shared" si="17"/>
        <v>South</v>
      </c>
      <c r="T128" s="2" t="str">
        <f>IFERROR(VLOOKUP(D128,Product_Reference!$A$1:$F$26,2,0),"Not Found!!")</f>
        <v>Office Chair</v>
      </c>
      <c r="U128" s="2" t="str">
        <f>IFERROR(VLOOKUP(D128,Product_Reference!$A$1:$F$26,3,0),"Not Found!!")</f>
        <v>Furniture</v>
      </c>
      <c r="V128" s="2" t="str">
        <f>IFERROR(VLOOKUP(D128,Product_Reference!$A$1:$F$26,4,0),"Not Found!!")</f>
        <v>ComfortPro</v>
      </c>
      <c r="W128" s="2" t="str">
        <f>IFERROR(VLOOKUP(D128,Product_Reference!$A$1:$F$26,5,0),"Not Found!!")</f>
        <v>ABC Ltd</v>
      </c>
      <c r="X128" s="2">
        <f>IFERROR(VLOOKUP(D128,Product_Reference!$A$1:$F$26,6,0),"Not Found!!")</f>
        <v>4.2</v>
      </c>
    </row>
    <row r="129" spans="1:24" x14ac:dyDescent="0.3">
      <c r="A129" s="2" t="s">
        <v>241</v>
      </c>
      <c r="B129" s="3">
        <v>46069</v>
      </c>
      <c r="C129" s="2" t="s">
        <v>159</v>
      </c>
      <c r="D129" s="2" t="s">
        <v>88</v>
      </c>
      <c r="E129" s="2">
        <v>1</v>
      </c>
      <c r="F129" s="2">
        <v>2200</v>
      </c>
      <c r="G129" s="2">
        <v>0.1</v>
      </c>
      <c r="H129" s="2" t="s">
        <v>35</v>
      </c>
      <c r="I129" s="2" t="s">
        <v>20</v>
      </c>
      <c r="J129" s="2" t="s">
        <v>50</v>
      </c>
      <c r="K129" s="8">
        <f t="shared" si="9"/>
        <v>2200</v>
      </c>
      <c r="L129" s="10">
        <f t="shared" si="10"/>
        <v>220</v>
      </c>
      <c r="M129" s="13">
        <f t="shared" si="11"/>
        <v>1980</v>
      </c>
      <c r="N129" s="15" t="str">
        <f t="shared" si="12"/>
        <v>Low Value</v>
      </c>
      <c r="O129" s="17" t="str">
        <f t="shared" si="13"/>
        <v>Medium</v>
      </c>
      <c r="P129" s="2" t="str">
        <f t="shared" si="14"/>
        <v>001</v>
      </c>
      <c r="Q129" s="2" t="str">
        <f t="shared" si="15"/>
        <v>120</v>
      </c>
      <c r="R129" s="2" t="str">
        <f t="shared" si="16"/>
        <v>Neha</v>
      </c>
      <c r="S129" s="2" t="str">
        <f t="shared" si="17"/>
        <v>South</v>
      </c>
      <c r="T129" s="2" t="str">
        <f>IFERROR(VLOOKUP(D129,Product_Reference!$A$1:$F$26,2,0),"Not Found!!")</f>
        <v>Desk Lamp</v>
      </c>
      <c r="U129" s="2" t="str">
        <f>IFERROR(VLOOKUP(D129,Product_Reference!$A$1:$F$26,3,0),"Not Found!!")</f>
        <v>Furniture</v>
      </c>
      <c r="V129" s="2" t="str">
        <f>IFERROR(VLOOKUP(D129,Product_Reference!$A$1:$F$26,4,0),"Not Found!!")</f>
        <v>BrightHome</v>
      </c>
      <c r="W129" s="2" t="str">
        <f>IFERROR(VLOOKUP(D129,Product_Reference!$A$1:$F$26,5,0),"Not Found!!")</f>
        <v>XYZ Ltd</v>
      </c>
      <c r="X129" s="2">
        <f>IFERROR(VLOOKUP(D129,Product_Reference!$A$1:$F$26,6,0),"Not Found!!")</f>
        <v>3.9</v>
      </c>
    </row>
    <row r="130" spans="1:24" x14ac:dyDescent="0.3">
      <c r="A130" s="2" t="s">
        <v>242</v>
      </c>
      <c r="B130" s="3">
        <v>46025</v>
      </c>
      <c r="C130" s="2" t="s">
        <v>124</v>
      </c>
      <c r="D130" s="2" t="s">
        <v>146</v>
      </c>
      <c r="E130" s="2">
        <v>2</v>
      </c>
      <c r="F130" s="2">
        <v>3500</v>
      </c>
      <c r="G130" s="2">
        <v>0.12</v>
      </c>
      <c r="H130" s="2" t="s">
        <v>19</v>
      </c>
      <c r="I130" s="2" t="s">
        <v>20</v>
      </c>
      <c r="J130" s="2" t="s">
        <v>15</v>
      </c>
      <c r="K130" s="8">
        <f t="shared" si="9"/>
        <v>7000</v>
      </c>
      <c r="L130" s="10">
        <f t="shared" si="10"/>
        <v>840</v>
      </c>
      <c r="M130" s="13">
        <f t="shared" si="11"/>
        <v>6160</v>
      </c>
      <c r="N130" s="15" t="str">
        <f t="shared" si="12"/>
        <v>Low Value</v>
      </c>
      <c r="O130" s="17" t="str">
        <f t="shared" si="13"/>
        <v>Medium</v>
      </c>
      <c r="P130" s="2" t="str">
        <f t="shared" si="14"/>
        <v>033</v>
      </c>
      <c r="Q130" s="2" t="str">
        <f t="shared" si="15"/>
        <v>105</v>
      </c>
      <c r="R130" s="2" t="str">
        <f t="shared" si="16"/>
        <v>Priya</v>
      </c>
      <c r="S130" s="2" t="str">
        <f t="shared" si="17"/>
        <v>South</v>
      </c>
      <c r="T130" s="2" t="str">
        <f>IFERROR(VLOOKUP(D130,Product_Reference!$A$1:$F$26,2,0),"Not Found!!")</f>
        <v>Mechanical Keyboard</v>
      </c>
      <c r="U130" s="2" t="str">
        <f>IFERROR(VLOOKUP(D130,Product_Reference!$A$1:$F$26,3,0),"Not Found!!")</f>
        <v>Accessories</v>
      </c>
      <c r="V130" s="2" t="str">
        <f>IFERROR(VLOOKUP(D130,Product_Reference!$A$1:$F$26,4,0),"Not Found!!")</f>
        <v>KeyMaster</v>
      </c>
      <c r="W130" s="2" t="str">
        <f>IFERROR(VLOOKUP(D130,Product_Reference!$A$1:$F$26,5,0),"Not Found!!")</f>
        <v>XYZ Ltd</v>
      </c>
      <c r="X130" s="2">
        <f>IFERROR(VLOOKUP(D130,Product_Reference!$A$1:$F$26,6,0),"Not Found!!")</f>
        <v>4.4000000000000004</v>
      </c>
    </row>
    <row r="131" spans="1:24" x14ac:dyDescent="0.3">
      <c r="A131" s="2" t="s">
        <v>243</v>
      </c>
      <c r="B131" s="3">
        <v>46066</v>
      </c>
      <c r="C131" s="2" t="s">
        <v>244</v>
      </c>
      <c r="D131" s="2" t="s">
        <v>146</v>
      </c>
      <c r="E131" s="2">
        <v>3</v>
      </c>
      <c r="F131" s="2">
        <v>3500</v>
      </c>
      <c r="G131" s="2">
        <v>0.05</v>
      </c>
      <c r="H131" s="2" t="s">
        <v>19</v>
      </c>
      <c r="I131" s="2" t="s">
        <v>26</v>
      </c>
      <c r="J131" s="2" t="s">
        <v>27</v>
      </c>
      <c r="K131" s="8">
        <f t="shared" ref="K131:K151" si="18">PRODUCT(E131,F131)</f>
        <v>10500</v>
      </c>
      <c r="L131" s="10">
        <f t="shared" ref="L131:L151" si="19">PRODUCT(K131,G131)</f>
        <v>525</v>
      </c>
      <c r="M131" s="13">
        <f t="shared" ref="M131:M151" si="20">K131-L131</f>
        <v>9975</v>
      </c>
      <c r="N131" s="15" t="str">
        <f t="shared" ref="N131:N151" si="21">IF(M131&gt;=50000,"High Value",IF(M131&gt;=20000,"Medium Value","Low Value"))</f>
        <v>Low Value</v>
      </c>
      <c r="O131" s="17" t="str">
        <f t="shared" ref="O131:O151" si="22">IF(AND(E131&gt;=5,G131&gt;=15%),"High",IF(OR(E131&gt;=3,G131&gt;=10%),"Medium","Low"))</f>
        <v>Medium</v>
      </c>
      <c r="P131" s="2" t="str">
        <f t="shared" ref="P131:P151" si="23">RIGHT(C131,3)</f>
        <v>002</v>
      </c>
      <c r="Q131" s="2" t="str">
        <f t="shared" ref="Q131:Q151" si="24">RIGHT(D131,3)</f>
        <v>105</v>
      </c>
      <c r="R131" s="2" t="str">
        <f t="shared" ref="R131:R151" si="25">PROPER(TRIM(J131))</f>
        <v>Sneha</v>
      </c>
      <c r="S131" s="2" t="str">
        <f t="shared" ref="S131:S151" si="26">TRIM(PROPER(I131))</f>
        <v>West</v>
      </c>
      <c r="T131" s="2" t="str">
        <f>IFERROR(VLOOKUP(D131,Product_Reference!$A$1:$F$26,2,0),"Not Found!!")</f>
        <v>Mechanical Keyboard</v>
      </c>
      <c r="U131" s="2" t="str">
        <f>IFERROR(VLOOKUP(D131,Product_Reference!$A$1:$F$26,3,0),"Not Found!!")</f>
        <v>Accessories</v>
      </c>
      <c r="V131" s="2" t="str">
        <f>IFERROR(VLOOKUP(D131,Product_Reference!$A$1:$F$26,4,0),"Not Found!!")</f>
        <v>KeyMaster</v>
      </c>
      <c r="W131" s="2" t="str">
        <f>IFERROR(VLOOKUP(D131,Product_Reference!$A$1:$F$26,5,0),"Not Found!!")</f>
        <v>XYZ Ltd</v>
      </c>
      <c r="X131" s="2">
        <f>IFERROR(VLOOKUP(D131,Product_Reference!$A$1:$F$26,6,0),"Not Found!!")</f>
        <v>4.4000000000000004</v>
      </c>
    </row>
    <row r="132" spans="1:24" x14ac:dyDescent="0.3">
      <c r="A132" s="2" t="s">
        <v>245</v>
      </c>
      <c r="B132" s="3">
        <v>46039</v>
      </c>
      <c r="C132" s="2" t="s">
        <v>171</v>
      </c>
      <c r="D132" s="2" t="s">
        <v>60</v>
      </c>
      <c r="E132" s="2">
        <v>2</v>
      </c>
      <c r="F132" s="2">
        <v>45000</v>
      </c>
      <c r="G132" s="2">
        <v>0</v>
      </c>
      <c r="H132" s="2" t="s">
        <v>35</v>
      </c>
      <c r="I132" s="2" t="s">
        <v>20</v>
      </c>
      <c r="J132" s="2" t="s">
        <v>50</v>
      </c>
      <c r="K132" s="8">
        <f t="shared" si="18"/>
        <v>90000</v>
      </c>
      <c r="L132" s="10">
        <f t="shared" si="19"/>
        <v>0</v>
      </c>
      <c r="M132" s="13">
        <f t="shared" si="20"/>
        <v>90000</v>
      </c>
      <c r="N132" s="15" t="str">
        <f t="shared" si="21"/>
        <v>High Value</v>
      </c>
      <c r="O132" s="17" t="str">
        <f t="shared" si="22"/>
        <v>Low</v>
      </c>
      <c r="P132" s="2" t="str">
        <f t="shared" si="23"/>
        <v>009</v>
      </c>
      <c r="Q132" s="2" t="str">
        <f t="shared" si="24"/>
        <v>101</v>
      </c>
      <c r="R132" s="2" t="str">
        <f t="shared" si="25"/>
        <v>Neha</v>
      </c>
      <c r="S132" s="2" t="str">
        <f t="shared" si="26"/>
        <v>South</v>
      </c>
      <c r="T132" s="2" t="str">
        <f>IFERROR(VLOOKUP(D132,Product_Reference!$A$1:$F$26,2,0),"Not Found!!")</f>
        <v>Laptop Pro 14</v>
      </c>
      <c r="U132" s="2" t="str">
        <f>IFERROR(VLOOKUP(D132,Product_Reference!$A$1:$F$26,3,0),"Not Found!!")</f>
        <v>Electronics</v>
      </c>
      <c r="V132" s="2" t="str">
        <f>IFERROR(VLOOKUP(D132,Product_Reference!$A$1:$F$26,4,0),"Not Found!!")</f>
        <v>TechPro</v>
      </c>
      <c r="W132" s="2" t="str">
        <f>IFERROR(VLOOKUP(D132,Product_Reference!$A$1:$F$26,5,0),"Not Found!!")</f>
        <v>ABC Ltd</v>
      </c>
      <c r="X132" s="2">
        <f>IFERROR(VLOOKUP(D132,Product_Reference!$A$1:$F$26,6,0),"Not Found!!")</f>
        <v>4.5</v>
      </c>
    </row>
    <row r="133" spans="1:24" x14ac:dyDescent="0.3">
      <c r="A133" s="2" t="s">
        <v>246</v>
      </c>
      <c r="B133" s="3">
        <v>46071</v>
      </c>
      <c r="C133" s="2" t="s">
        <v>211</v>
      </c>
      <c r="D133" s="2" t="s">
        <v>55</v>
      </c>
      <c r="E133" s="2">
        <v>1</v>
      </c>
      <c r="F133" s="2">
        <v>2800</v>
      </c>
      <c r="G133" s="2">
        <v>0.15</v>
      </c>
      <c r="H133" s="2" t="s">
        <v>13</v>
      </c>
      <c r="I133" s="2" t="s">
        <v>20</v>
      </c>
      <c r="J133" s="2" t="s">
        <v>15</v>
      </c>
      <c r="K133" s="8">
        <f t="shared" si="18"/>
        <v>2800</v>
      </c>
      <c r="L133" s="10">
        <f t="shared" si="19"/>
        <v>420</v>
      </c>
      <c r="M133" s="13">
        <f t="shared" si="20"/>
        <v>2380</v>
      </c>
      <c r="N133" s="15" t="str">
        <f t="shared" si="21"/>
        <v>Low Value</v>
      </c>
      <c r="O133" s="17" t="str">
        <f t="shared" si="22"/>
        <v>Medium</v>
      </c>
      <c r="P133" s="2" t="str">
        <f t="shared" si="23"/>
        <v>005</v>
      </c>
      <c r="Q133" s="2" t="str">
        <f t="shared" si="24"/>
        <v>123</v>
      </c>
      <c r="R133" s="2" t="str">
        <f t="shared" si="25"/>
        <v>Priya</v>
      </c>
      <c r="S133" s="2" t="str">
        <f t="shared" si="26"/>
        <v>South</v>
      </c>
      <c r="T133" s="2" t="str">
        <f>IFERROR(VLOOKUP(D133,Product_Reference!$A$1:$F$26,2,0),"Not Found!!")</f>
        <v>Wi-Fi Range Extender</v>
      </c>
      <c r="U133" s="2" t="str">
        <f>IFERROR(VLOOKUP(D133,Product_Reference!$A$1:$F$26,3,0),"Not Found!!")</f>
        <v>Networking</v>
      </c>
      <c r="V133" s="2" t="str">
        <f>IFERROR(VLOOKUP(D133,Product_Reference!$A$1:$F$26,4,0),"Not Found!!")</f>
        <v>NetLink</v>
      </c>
      <c r="W133" s="2" t="str">
        <f>IFERROR(VLOOKUP(D133,Product_Reference!$A$1:$F$26,5,0),"Not Found!!")</f>
        <v>XYZ Ltd</v>
      </c>
      <c r="X133" s="2">
        <f>IFERROR(VLOOKUP(D133,Product_Reference!$A$1:$F$26,6,0),"Not Found!!")</f>
        <v>4</v>
      </c>
    </row>
    <row r="134" spans="1:24" x14ac:dyDescent="0.3">
      <c r="A134" s="2" t="s">
        <v>247</v>
      </c>
      <c r="B134" s="3">
        <v>46097</v>
      </c>
      <c r="C134" s="2" t="s">
        <v>171</v>
      </c>
      <c r="D134" s="2" t="s">
        <v>43</v>
      </c>
      <c r="E134" s="2">
        <v>2</v>
      </c>
      <c r="F134" s="2">
        <v>2500</v>
      </c>
      <c r="G134" s="2">
        <v>0.2</v>
      </c>
      <c r="H134" s="2" t="s">
        <v>19</v>
      </c>
      <c r="I134" s="2" t="s">
        <v>36</v>
      </c>
      <c r="J134" s="2" t="s">
        <v>21</v>
      </c>
      <c r="K134" s="8">
        <f t="shared" si="18"/>
        <v>5000</v>
      </c>
      <c r="L134" s="10">
        <f t="shared" si="19"/>
        <v>1000</v>
      </c>
      <c r="M134" s="13">
        <f t="shared" si="20"/>
        <v>4000</v>
      </c>
      <c r="N134" s="15" t="str">
        <f t="shared" si="21"/>
        <v>Low Value</v>
      </c>
      <c r="O134" s="17" t="str">
        <f t="shared" si="22"/>
        <v>Medium</v>
      </c>
      <c r="P134" s="2" t="str">
        <f t="shared" si="23"/>
        <v>009</v>
      </c>
      <c r="Q134" s="2" t="str">
        <f t="shared" si="24"/>
        <v>114</v>
      </c>
      <c r="R134" s="2" t="str">
        <f t="shared" si="25"/>
        <v>Amit</v>
      </c>
      <c r="S134" s="2" t="str">
        <f t="shared" si="26"/>
        <v>North</v>
      </c>
      <c r="T134" s="2" t="str">
        <f>IFERROR(VLOOKUP(D134,Product_Reference!$A$1:$F$26,2,0),"Not Found!!")</f>
        <v>Power Bank 20000mAh</v>
      </c>
      <c r="U134" s="2" t="str">
        <f>IFERROR(VLOOKUP(D134,Product_Reference!$A$1:$F$26,3,0),"Not Found!!")</f>
        <v>Accessories</v>
      </c>
      <c r="V134" s="2" t="str">
        <f>IFERROR(VLOOKUP(D134,Product_Reference!$A$1:$F$26,4,0),"Not Found!!")</f>
        <v>PowerPlus</v>
      </c>
      <c r="W134" s="2" t="str">
        <f>IFERROR(VLOOKUP(D134,Product_Reference!$A$1:$F$26,5,0),"Not Found!!")</f>
        <v>PQR Ltd</v>
      </c>
      <c r="X134" s="2">
        <f>IFERROR(VLOOKUP(D134,Product_Reference!$A$1:$F$26,6,0),"Not Found!!")</f>
        <v>4.0999999999999996</v>
      </c>
    </row>
    <row r="135" spans="1:24" x14ac:dyDescent="0.3">
      <c r="A135" s="2" t="s">
        <v>248</v>
      </c>
      <c r="B135" s="3">
        <v>46044</v>
      </c>
      <c r="C135" s="2" t="s">
        <v>57</v>
      </c>
      <c r="D135" s="2" t="s">
        <v>60</v>
      </c>
      <c r="E135" s="2">
        <v>4</v>
      </c>
      <c r="F135" s="2">
        <v>45000</v>
      </c>
      <c r="G135" s="2">
        <v>0.2</v>
      </c>
      <c r="H135" s="2" t="s">
        <v>25</v>
      </c>
      <c r="I135" s="2" t="s">
        <v>20</v>
      </c>
      <c r="J135" s="2" t="s">
        <v>21</v>
      </c>
      <c r="K135" s="8">
        <f t="shared" si="18"/>
        <v>180000</v>
      </c>
      <c r="L135" s="10">
        <f t="shared" si="19"/>
        <v>36000</v>
      </c>
      <c r="M135" s="13">
        <f t="shared" si="20"/>
        <v>144000</v>
      </c>
      <c r="N135" s="15" t="str">
        <f t="shared" si="21"/>
        <v>High Value</v>
      </c>
      <c r="O135" s="17" t="str">
        <f t="shared" si="22"/>
        <v>Medium</v>
      </c>
      <c r="P135" s="2" t="str">
        <f t="shared" si="23"/>
        <v>060</v>
      </c>
      <c r="Q135" s="2" t="str">
        <f t="shared" si="24"/>
        <v>101</v>
      </c>
      <c r="R135" s="2" t="str">
        <f t="shared" si="25"/>
        <v>Amit</v>
      </c>
      <c r="S135" s="2" t="str">
        <f t="shared" si="26"/>
        <v>South</v>
      </c>
      <c r="T135" s="2" t="str">
        <f>IFERROR(VLOOKUP(D135,Product_Reference!$A$1:$F$26,2,0),"Not Found!!")</f>
        <v>Laptop Pro 14</v>
      </c>
      <c r="U135" s="2" t="str">
        <f>IFERROR(VLOOKUP(D135,Product_Reference!$A$1:$F$26,3,0),"Not Found!!")</f>
        <v>Electronics</v>
      </c>
      <c r="V135" s="2" t="str">
        <f>IFERROR(VLOOKUP(D135,Product_Reference!$A$1:$F$26,4,0),"Not Found!!")</f>
        <v>TechPro</v>
      </c>
      <c r="W135" s="2" t="str">
        <f>IFERROR(VLOOKUP(D135,Product_Reference!$A$1:$F$26,5,0),"Not Found!!")</f>
        <v>ABC Ltd</v>
      </c>
      <c r="X135" s="2">
        <f>IFERROR(VLOOKUP(D135,Product_Reference!$A$1:$F$26,6,0),"Not Found!!")</f>
        <v>4.5</v>
      </c>
    </row>
    <row r="136" spans="1:24" x14ac:dyDescent="0.3">
      <c r="A136" s="2" t="s">
        <v>249</v>
      </c>
      <c r="B136" s="3">
        <v>46082</v>
      </c>
      <c r="C136" s="2" t="s">
        <v>153</v>
      </c>
      <c r="D136" s="2" t="s">
        <v>99</v>
      </c>
      <c r="E136" s="2">
        <v>2</v>
      </c>
      <c r="F136" s="2">
        <v>8500</v>
      </c>
      <c r="G136" s="2">
        <v>0.15</v>
      </c>
      <c r="H136" s="2" t="s">
        <v>13</v>
      </c>
      <c r="I136" s="2" t="s">
        <v>14</v>
      </c>
      <c r="J136" s="2"/>
      <c r="K136" s="8">
        <f t="shared" si="18"/>
        <v>17000</v>
      </c>
      <c r="L136" s="10">
        <f t="shared" si="19"/>
        <v>2550</v>
      </c>
      <c r="M136" s="13">
        <f t="shared" si="20"/>
        <v>14450</v>
      </c>
      <c r="N136" s="15" t="str">
        <f t="shared" si="21"/>
        <v>Low Value</v>
      </c>
      <c r="O136" s="17" t="str">
        <f t="shared" si="22"/>
        <v>Medium</v>
      </c>
      <c r="P136" s="2" t="str">
        <f t="shared" si="23"/>
        <v>030</v>
      </c>
      <c r="Q136" s="2" t="str">
        <f t="shared" si="24"/>
        <v>109</v>
      </c>
      <c r="R136" s="2" t="str">
        <f t="shared" si="25"/>
        <v/>
      </c>
      <c r="S136" s="2" t="str">
        <f t="shared" si="26"/>
        <v>East</v>
      </c>
      <c r="T136" s="2" t="str">
        <f>IFERROR(VLOOKUP(D136,Product_Reference!$A$1:$F$26,2,0),"Not Found!!")</f>
        <v>Noise Cancelling Headphones</v>
      </c>
      <c r="U136" s="2" t="str">
        <f>IFERROR(VLOOKUP(D136,Product_Reference!$A$1:$F$26,3,0),"Not Found!!")</f>
        <v>Audio</v>
      </c>
      <c r="V136" s="2" t="str">
        <f>IFERROR(VLOOKUP(D136,Product_Reference!$A$1:$F$26,4,0),"Not Found!!")</f>
        <v>SoundMax</v>
      </c>
      <c r="W136" s="2" t="str">
        <f>IFERROR(VLOOKUP(D136,Product_Reference!$A$1:$F$26,5,0),"Not Found!!")</f>
        <v>LMN Ltd</v>
      </c>
      <c r="X136" s="2">
        <f>IFERROR(VLOOKUP(D136,Product_Reference!$A$1:$F$26,6,0),"Not Found!!")</f>
        <v>4.7</v>
      </c>
    </row>
    <row r="137" spans="1:24" x14ac:dyDescent="0.3">
      <c r="A137" s="2" t="s">
        <v>250</v>
      </c>
      <c r="B137" s="3">
        <v>46026</v>
      </c>
      <c r="C137" s="2" t="s">
        <v>102</v>
      </c>
      <c r="D137" s="2" t="s">
        <v>18</v>
      </c>
      <c r="E137" s="2">
        <v>6</v>
      </c>
      <c r="F137" s="2">
        <v>12500</v>
      </c>
      <c r="G137" s="2">
        <v>0.15</v>
      </c>
      <c r="H137" s="2" t="s">
        <v>25</v>
      </c>
      <c r="I137" s="2" t="s">
        <v>14</v>
      </c>
      <c r="J137" s="2" t="s">
        <v>15</v>
      </c>
      <c r="K137" s="8">
        <f t="shared" si="18"/>
        <v>75000</v>
      </c>
      <c r="L137" s="10">
        <f t="shared" si="19"/>
        <v>11250</v>
      </c>
      <c r="M137" s="13">
        <f t="shared" si="20"/>
        <v>63750</v>
      </c>
      <c r="N137" s="15" t="str">
        <f t="shared" si="21"/>
        <v>High Value</v>
      </c>
      <c r="O137" s="17" t="str">
        <f t="shared" si="22"/>
        <v>High</v>
      </c>
      <c r="P137" s="2" t="str">
        <f t="shared" si="23"/>
        <v>025</v>
      </c>
      <c r="Q137" s="2" t="str">
        <f t="shared" si="24"/>
        <v>119</v>
      </c>
      <c r="R137" s="2" t="str">
        <f t="shared" si="25"/>
        <v>Priya</v>
      </c>
      <c r="S137" s="2" t="str">
        <f t="shared" si="26"/>
        <v>East</v>
      </c>
      <c r="T137" s="2" t="str">
        <f>IFERROR(VLOOKUP(D137,Product_Reference!$A$1:$F$26,2,0),"Not Found!!")</f>
        <v>Office Chair</v>
      </c>
      <c r="U137" s="2" t="str">
        <f>IFERROR(VLOOKUP(D137,Product_Reference!$A$1:$F$26,3,0),"Not Found!!")</f>
        <v>Furniture</v>
      </c>
      <c r="V137" s="2" t="str">
        <f>IFERROR(VLOOKUP(D137,Product_Reference!$A$1:$F$26,4,0),"Not Found!!")</f>
        <v>ComfortPro</v>
      </c>
      <c r="W137" s="2" t="str">
        <f>IFERROR(VLOOKUP(D137,Product_Reference!$A$1:$F$26,5,0),"Not Found!!")</f>
        <v>ABC Ltd</v>
      </c>
      <c r="X137" s="2">
        <f>IFERROR(VLOOKUP(D137,Product_Reference!$A$1:$F$26,6,0),"Not Found!!")</f>
        <v>4.2</v>
      </c>
    </row>
    <row r="138" spans="1:24" x14ac:dyDescent="0.3">
      <c r="A138" s="2" t="s">
        <v>251</v>
      </c>
      <c r="B138" s="3">
        <v>46036</v>
      </c>
      <c r="C138" s="2" t="s">
        <v>73</v>
      </c>
      <c r="D138" s="2" t="s">
        <v>103</v>
      </c>
      <c r="E138" s="2">
        <v>4</v>
      </c>
      <c r="F138" s="2">
        <v>7000</v>
      </c>
      <c r="G138" s="2">
        <v>0.18</v>
      </c>
      <c r="H138" s="2" t="s">
        <v>35</v>
      </c>
      <c r="I138" s="2" t="s">
        <v>26</v>
      </c>
      <c r="J138" s="2" t="s">
        <v>31</v>
      </c>
      <c r="K138" s="8">
        <f t="shared" si="18"/>
        <v>28000</v>
      </c>
      <c r="L138" s="10">
        <f t="shared" si="19"/>
        <v>5040</v>
      </c>
      <c r="M138" s="13">
        <f t="shared" si="20"/>
        <v>22960</v>
      </c>
      <c r="N138" s="15" t="str">
        <f t="shared" si="21"/>
        <v>Medium Value</v>
      </c>
      <c r="O138" s="17" t="str">
        <f t="shared" si="22"/>
        <v>Medium</v>
      </c>
      <c r="P138" s="2" t="str">
        <f t="shared" si="23"/>
        <v>032</v>
      </c>
      <c r="Q138" s="2" t="str">
        <f t="shared" si="24"/>
        <v>108</v>
      </c>
      <c r="R138" s="2" t="str">
        <f t="shared" si="25"/>
        <v>Rahul</v>
      </c>
      <c r="S138" s="2" t="str">
        <f t="shared" si="26"/>
        <v>West</v>
      </c>
      <c r="T138" s="2" t="str">
        <f>IFERROR(VLOOKUP(D138,Product_Reference!$A$1:$F$26,2,0),"Not Found!!")</f>
        <v>Smart Watch</v>
      </c>
      <c r="U138" s="2" t="str">
        <f>IFERROR(VLOOKUP(D138,Product_Reference!$A$1:$F$26,3,0),"Not Found!!")</f>
        <v>Wearables</v>
      </c>
      <c r="V138" s="2" t="str">
        <f>IFERROR(VLOOKUP(D138,Product_Reference!$A$1:$F$26,4,0),"Not Found!!")</f>
        <v>FitTech</v>
      </c>
      <c r="W138" s="2" t="str">
        <f>IFERROR(VLOOKUP(D138,Product_Reference!$A$1:$F$26,5,0),"Not Found!!")</f>
        <v>ABC Ltd</v>
      </c>
      <c r="X138" s="2">
        <f>IFERROR(VLOOKUP(D138,Product_Reference!$A$1:$F$26,6,0),"Not Found!!")</f>
        <v>4</v>
      </c>
    </row>
    <row r="139" spans="1:24" x14ac:dyDescent="0.3">
      <c r="A139" s="2" t="s">
        <v>252</v>
      </c>
      <c r="B139" s="3">
        <v>46039</v>
      </c>
      <c r="C139" s="2" t="s">
        <v>124</v>
      </c>
      <c r="D139" s="2" t="s">
        <v>55</v>
      </c>
      <c r="E139" s="2">
        <v>1</v>
      </c>
      <c r="F139" s="2">
        <v>2800</v>
      </c>
      <c r="G139" s="2">
        <v>0</v>
      </c>
      <c r="H139" s="2" t="s">
        <v>19</v>
      </c>
      <c r="I139" s="2" t="s">
        <v>26</v>
      </c>
      <c r="J139" s="2" t="s">
        <v>50</v>
      </c>
      <c r="K139" s="8">
        <f t="shared" si="18"/>
        <v>2800</v>
      </c>
      <c r="L139" s="10">
        <f t="shared" si="19"/>
        <v>0</v>
      </c>
      <c r="M139" s="13">
        <f t="shared" si="20"/>
        <v>2800</v>
      </c>
      <c r="N139" s="15" t="str">
        <f t="shared" si="21"/>
        <v>Low Value</v>
      </c>
      <c r="O139" s="17" t="str">
        <f t="shared" si="22"/>
        <v>Low</v>
      </c>
      <c r="P139" s="2" t="str">
        <f t="shared" si="23"/>
        <v>033</v>
      </c>
      <c r="Q139" s="2" t="str">
        <f t="shared" si="24"/>
        <v>123</v>
      </c>
      <c r="R139" s="2" t="str">
        <f t="shared" si="25"/>
        <v>Neha</v>
      </c>
      <c r="S139" s="2" t="str">
        <f t="shared" si="26"/>
        <v>West</v>
      </c>
      <c r="T139" s="2" t="str">
        <f>IFERROR(VLOOKUP(D139,Product_Reference!$A$1:$F$26,2,0),"Not Found!!")</f>
        <v>Wi-Fi Range Extender</v>
      </c>
      <c r="U139" s="2" t="str">
        <f>IFERROR(VLOOKUP(D139,Product_Reference!$A$1:$F$26,3,0),"Not Found!!")</f>
        <v>Networking</v>
      </c>
      <c r="V139" s="2" t="str">
        <f>IFERROR(VLOOKUP(D139,Product_Reference!$A$1:$F$26,4,0),"Not Found!!")</f>
        <v>NetLink</v>
      </c>
      <c r="W139" s="2" t="str">
        <f>IFERROR(VLOOKUP(D139,Product_Reference!$A$1:$F$26,5,0),"Not Found!!")</f>
        <v>XYZ Ltd</v>
      </c>
      <c r="X139" s="2">
        <f>IFERROR(VLOOKUP(D139,Product_Reference!$A$1:$F$26,6,0),"Not Found!!")</f>
        <v>4</v>
      </c>
    </row>
    <row r="140" spans="1:24" x14ac:dyDescent="0.3">
      <c r="A140" s="2" t="s">
        <v>253</v>
      </c>
      <c r="B140" s="3">
        <v>46073</v>
      </c>
      <c r="C140" s="2" t="s">
        <v>39</v>
      </c>
      <c r="D140" s="2" t="s">
        <v>30</v>
      </c>
      <c r="E140" s="2">
        <v>4</v>
      </c>
      <c r="F140" s="2">
        <v>30000</v>
      </c>
      <c r="G140" s="2">
        <v>0.2</v>
      </c>
      <c r="H140" s="2" t="s">
        <v>19</v>
      </c>
      <c r="I140" s="2" t="s">
        <v>26</v>
      </c>
      <c r="J140" s="2" t="s">
        <v>21</v>
      </c>
      <c r="K140" s="8">
        <f t="shared" si="18"/>
        <v>120000</v>
      </c>
      <c r="L140" s="10">
        <f t="shared" si="19"/>
        <v>24000</v>
      </c>
      <c r="M140" s="13">
        <f t="shared" si="20"/>
        <v>96000</v>
      </c>
      <c r="N140" s="15" t="str">
        <f t="shared" si="21"/>
        <v>High Value</v>
      </c>
      <c r="O140" s="17" t="str">
        <f t="shared" si="22"/>
        <v>Medium</v>
      </c>
      <c r="P140" s="2" t="str">
        <f t="shared" si="23"/>
        <v>039</v>
      </c>
      <c r="Q140" s="2" t="str">
        <f t="shared" si="24"/>
        <v>121</v>
      </c>
      <c r="R140" s="2" t="str">
        <f t="shared" si="25"/>
        <v>Amit</v>
      </c>
      <c r="S140" s="2" t="str">
        <f t="shared" si="26"/>
        <v>West</v>
      </c>
      <c r="T140" s="2" t="str">
        <f>IFERROR(VLOOKUP(D140,Product_Reference!$A$1:$F$26,2,0),"Not Found!!")</f>
        <v>Portable Projector</v>
      </c>
      <c r="U140" s="2" t="str">
        <f>IFERROR(VLOOKUP(D140,Product_Reference!$A$1:$F$26,3,0),"Not Found!!")</f>
        <v>Electronics</v>
      </c>
      <c r="V140" s="2" t="str">
        <f>IFERROR(VLOOKUP(D140,Product_Reference!$A$1:$F$26,4,0),"Not Found!!")</f>
        <v>ViewMax</v>
      </c>
      <c r="W140" s="2" t="str">
        <f>IFERROR(VLOOKUP(D140,Product_Reference!$A$1:$F$26,5,0),"Not Found!!")</f>
        <v>PQR Ltd</v>
      </c>
      <c r="X140" s="2">
        <f>IFERROR(VLOOKUP(D140,Product_Reference!$A$1:$F$26,6,0),"Not Found!!")</f>
        <v>4.0999999999999996</v>
      </c>
    </row>
    <row r="141" spans="1:24" x14ac:dyDescent="0.3">
      <c r="A141" s="2" t="s">
        <v>254</v>
      </c>
      <c r="B141" s="3">
        <v>46064</v>
      </c>
      <c r="C141" s="2" t="s">
        <v>33</v>
      </c>
      <c r="D141" s="2" t="s">
        <v>12</v>
      </c>
      <c r="E141" s="2">
        <v>1</v>
      </c>
      <c r="F141" s="2">
        <v>2200</v>
      </c>
      <c r="G141" s="2">
        <v>0.2</v>
      </c>
      <c r="H141" s="2" t="s">
        <v>13</v>
      </c>
      <c r="I141" s="2" t="s">
        <v>14</v>
      </c>
      <c r="J141" s="2" t="s">
        <v>31</v>
      </c>
      <c r="K141" s="8">
        <f t="shared" si="18"/>
        <v>2200</v>
      </c>
      <c r="L141" s="10">
        <f t="shared" si="19"/>
        <v>440</v>
      </c>
      <c r="M141" s="13">
        <f t="shared" si="20"/>
        <v>1760</v>
      </c>
      <c r="N141" s="15" t="str">
        <f t="shared" si="21"/>
        <v>Low Value</v>
      </c>
      <c r="O141" s="17" t="str">
        <f t="shared" si="22"/>
        <v>Medium</v>
      </c>
      <c r="P141" s="2" t="str">
        <f t="shared" si="23"/>
        <v>052</v>
      </c>
      <c r="Q141" s="2" t="str">
        <f t="shared" si="24"/>
        <v>107</v>
      </c>
      <c r="R141" s="2" t="str">
        <f t="shared" si="25"/>
        <v>Rahul</v>
      </c>
      <c r="S141" s="2" t="str">
        <f t="shared" si="26"/>
        <v>East</v>
      </c>
      <c r="T141" s="2" t="str">
        <f>IFERROR(VLOOKUP(D141,Product_Reference!$A$1:$F$26,2,0),"Not Found!!")</f>
        <v>USB-C Hub</v>
      </c>
      <c r="U141" s="2" t="str">
        <f>IFERROR(VLOOKUP(D141,Product_Reference!$A$1:$F$26,3,0),"Not Found!!")</f>
        <v>Accessories</v>
      </c>
      <c r="V141" s="2" t="str">
        <f>IFERROR(VLOOKUP(D141,Product_Reference!$A$1:$F$26,4,0),"Not Found!!")</f>
        <v>ConnectPro</v>
      </c>
      <c r="W141" s="2" t="str">
        <f>IFERROR(VLOOKUP(D141,Product_Reference!$A$1:$F$26,5,0),"Not Found!!")</f>
        <v>PQR Ltd</v>
      </c>
      <c r="X141" s="2">
        <f>IFERROR(VLOOKUP(D141,Product_Reference!$A$1:$F$26,6,0),"Not Found!!")</f>
        <v>4.3</v>
      </c>
    </row>
    <row r="142" spans="1:24" x14ac:dyDescent="0.3">
      <c r="A142" s="2" t="s">
        <v>255</v>
      </c>
      <c r="B142" s="3">
        <v>46058</v>
      </c>
      <c r="C142" s="2" t="s">
        <v>113</v>
      </c>
      <c r="D142" s="2" t="s">
        <v>88</v>
      </c>
      <c r="E142" s="2">
        <v>3</v>
      </c>
      <c r="F142" s="2">
        <v>2200</v>
      </c>
      <c r="G142" s="2">
        <v>0.08</v>
      </c>
      <c r="H142" s="2" t="s">
        <v>19</v>
      </c>
      <c r="I142" s="2" t="s">
        <v>14</v>
      </c>
      <c r="J142" s="2" t="s">
        <v>37</v>
      </c>
      <c r="K142" s="8">
        <f t="shared" si="18"/>
        <v>6600</v>
      </c>
      <c r="L142" s="10">
        <f t="shared" si="19"/>
        <v>528</v>
      </c>
      <c r="M142" s="13">
        <f t="shared" si="20"/>
        <v>6072</v>
      </c>
      <c r="N142" s="15" t="str">
        <f t="shared" si="21"/>
        <v>Low Value</v>
      </c>
      <c r="O142" s="17" t="str">
        <f t="shared" si="22"/>
        <v>Medium</v>
      </c>
      <c r="P142" s="2" t="str">
        <f t="shared" si="23"/>
        <v>029</v>
      </c>
      <c r="Q142" s="2" t="str">
        <f t="shared" si="24"/>
        <v>120</v>
      </c>
      <c r="R142" s="2" t="str">
        <f t="shared" si="25"/>
        <v>Karan</v>
      </c>
      <c r="S142" s="2" t="str">
        <f t="shared" si="26"/>
        <v>East</v>
      </c>
      <c r="T142" s="2" t="str">
        <f>IFERROR(VLOOKUP(D142,Product_Reference!$A$1:$F$26,2,0),"Not Found!!")</f>
        <v>Desk Lamp</v>
      </c>
      <c r="U142" s="2" t="str">
        <f>IFERROR(VLOOKUP(D142,Product_Reference!$A$1:$F$26,3,0),"Not Found!!")</f>
        <v>Furniture</v>
      </c>
      <c r="V142" s="2" t="str">
        <f>IFERROR(VLOOKUP(D142,Product_Reference!$A$1:$F$26,4,0),"Not Found!!")</f>
        <v>BrightHome</v>
      </c>
      <c r="W142" s="2" t="str">
        <f>IFERROR(VLOOKUP(D142,Product_Reference!$A$1:$F$26,5,0),"Not Found!!")</f>
        <v>XYZ Ltd</v>
      </c>
      <c r="X142" s="2">
        <f>IFERROR(VLOOKUP(D142,Product_Reference!$A$1:$F$26,6,0),"Not Found!!")</f>
        <v>3.9</v>
      </c>
    </row>
    <row r="143" spans="1:24" x14ac:dyDescent="0.3">
      <c r="A143" s="2" t="s">
        <v>256</v>
      </c>
      <c r="B143" s="3">
        <v>46090</v>
      </c>
      <c r="C143" s="2" t="s">
        <v>29</v>
      </c>
      <c r="D143" s="2" t="s">
        <v>146</v>
      </c>
      <c r="E143" s="2">
        <v>3</v>
      </c>
      <c r="F143" s="2">
        <v>3500</v>
      </c>
      <c r="G143" s="2">
        <v>0</v>
      </c>
      <c r="H143" s="2" t="s">
        <v>35</v>
      </c>
      <c r="I143" s="2" t="s">
        <v>14</v>
      </c>
      <c r="J143" s="2" t="s">
        <v>21</v>
      </c>
      <c r="K143" s="8">
        <f t="shared" si="18"/>
        <v>10500</v>
      </c>
      <c r="L143" s="10">
        <f t="shared" si="19"/>
        <v>0</v>
      </c>
      <c r="M143" s="13">
        <f t="shared" si="20"/>
        <v>10500</v>
      </c>
      <c r="N143" s="15" t="str">
        <f t="shared" si="21"/>
        <v>Low Value</v>
      </c>
      <c r="O143" s="17" t="str">
        <f t="shared" si="22"/>
        <v>Medium</v>
      </c>
      <c r="P143" s="2" t="str">
        <f t="shared" si="23"/>
        <v>022</v>
      </c>
      <c r="Q143" s="2" t="str">
        <f t="shared" si="24"/>
        <v>105</v>
      </c>
      <c r="R143" s="2" t="str">
        <f t="shared" si="25"/>
        <v>Amit</v>
      </c>
      <c r="S143" s="2" t="str">
        <f t="shared" si="26"/>
        <v>East</v>
      </c>
      <c r="T143" s="2" t="str">
        <f>IFERROR(VLOOKUP(D143,Product_Reference!$A$1:$F$26,2,0),"Not Found!!")</f>
        <v>Mechanical Keyboard</v>
      </c>
      <c r="U143" s="2" t="str">
        <f>IFERROR(VLOOKUP(D143,Product_Reference!$A$1:$F$26,3,0),"Not Found!!")</f>
        <v>Accessories</v>
      </c>
      <c r="V143" s="2" t="str">
        <f>IFERROR(VLOOKUP(D143,Product_Reference!$A$1:$F$26,4,0),"Not Found!!")</f>
        <v>KeyMaster</v>
      </c>
      <c r="W143" s="2" t="str">
        <f>IFERROR(VLOOKUP(D143,Product_Reference!$A$1:$F$26,5,0),"Not Found!!")</f>
        <v>XYZ Ltd</v>
      </c>
      <c r="X143" s="2">
        <f>IFERROR(VLOOKUP(D143,Product_Reference!$A$1:$F$26,6,0),"Not Found!!")</f>
        <v>4.4000000000000004</v>
      </c>
    </row>
    <row r="144" spans="1:24" x14ac:dyDescent="0.3">
      <c r="A144" s="2" t="s">
        <v>257</v>
      </c>
      <c r="B144" s="3">
        <v>46060</v>
      </c>
      <c r="C144" s="2" t="s">
        <v>195</v>
      </c>
      <c r="D144" s="2" t="s">
        <v>34</v>
      </c>
      <c r="E144" s="2">
        <v>1</v>
      </c>
      <c r="F144" s="2">
        <v>9000</v>
      </c>
      <c r="G144" s="2">
        <v>0.15</v>
      </c>
      <c r="H144" s="2" t="s">
        <v>19</v>
      </c>
      <c r="I144" s="2" t="s">
        <v>20</v>
      </c>
      <c r="J144" s="2" t="s">
        <v>37</v>
      </c>
      <c r="K144" s="8">
        <f t="shared" si="18"/>
        <v>9000</v>
      </c>
      <c r="L144" s="10">
        <f t="shared" si="19"/>
        <v>1350</v>
      </c>
      <c r="M144" s="13">
        <f t="shared" si="20"/>
        <v>7650</v>
      </c>
      <c r="N144" s="15" t="str">
        <f t="shared" si="21"/>
        <v>Low Value</v>
      </c>
      <c r="O144" s="17" t="str">
        <f t="shared" si="22"/>
        <v>Medium</v>
      </c>
      <c r="P144" s="2" t="str">
        <f t="shared" si="23"/>
        <v>013</v>
      </c>
      <c r="Q144" s="2" t="str">
        <f t="shared" si="24"/>
        <v>110</v>
      </c>
      <c r="R144" s="2" t="str">
        <f t="shared" si="25"/>
        <v>Karan</v>
      </c>
      <c r="S144" s="2" t="str">
        <f t="shared" si="26"/>
        <v>South</v>
      </c>
      <c r="T144" s="2" t="str">
        <f>IFERROR(VLOOKUP(D144,Product_Reference!$A$1:$F$26,2,0),"Not Found!!")</f>
        <v>External SSD 1TB</v>
      </c>
      <c r="U144" s="2" t="str">
        <f>IFERROR(VLOOKUP(D144,Product_Reference!$A$1:$F$26,3,0),"Not Found!!")</f>
        <v>Storage</v>
      </c>
      <c r="V144" s="2" t="str">
        <f>IFERROR(VLOOKUP(D144,Product_Reference!$A$1:$F$26,4,0),"Not Found!!")</f>
        <v>DataDrive</v>
      </c>
      <c r="W144" s="2" t="str">
        <f>IFERROR(VLOOKUP(D144,Product_Reference!$A$1:$F$26,5,0),"Not Found!!")</f>
        <v>PQR Ltd</v>
      </c>
      <c r="X144" s="2">
        <f>IFERROR(VLOOKUP(D144,Product_Reference!$A$1:$F$26,6,0),"Not Found!!")</f>
        <v>4.5</v>
      </c>
    </row>
    <row r="145" spans="1:24" x14ac:dyDescent="0.3">
      <c r="A145" s="2" t="s">
        <v>258</v>
      </c>
      <c r="B145" s="3">
        <v>46037</v>
      </c>
      <c r="C145" s="2" t="s">
        <v>113</v>
      </c>
      <c r="D145" s="2" t="s">
        <v>58</v>
      </c>
      <c r="E145" s="2">
        <v>2</v>
      </c>
      <c r="F145" s="2">
        <v>2500</v>
      </c>
      <c r="G145" s="2">
        <v>0.2</v>
      </c>
      <c r="H145" s="2" t="s">
        <v>35</v>
      </c>
      <c r="I145" s="2" t="s">
        <v>14</v>
      </c>
      <c r="J145" s="2" t="s">
        <v>27</v>
      </c>
      <c r="K145" s="8">
        <f t="shared" si="18"/>
        <v>5000</v>
      </c>
      <c r="L145" s="10">
        <f t="shared" si="19"/>
        <v>1000</v>
      </c>
      <c r="M145" s="13">
        <f t="shared" si="20"/>
        <v>4000</v>
      </c>
      <c r="N145" s="15" t="str">
        <f t="shared" si="21"/>
        <v>Low Value</v>
      </c>
      <c r="O145" s="17" t="str">
        <f t="shared" si="22"/>
        <v>Medium</v>
      </c>
      <c r="P145" s="2" t="str">
        <f t="shared" si="23"/>
        <v>029</v>
      </c>
      <c r="Q145" s="2" t="str">
        <f t="shared" si="24"/>
        <v>124</v>
      </c>
      <c r="R145" s="2" t="str">
        <f t="shared" si="25"/>
        <v>Sneha</v>
      </c>
      <c r="S145" s="2" t="str">
        <f t="shared" si="26"/>
        <v>East</v>
      </c>
      <c r="T145" s="2" t="str">
        <f>IFERROR(VLOOKUP(D145,Product_Reference!$A$1:$F$26,2,0),"Not Found!!")</f>
        <v>Tablet Keyboard</v>
      </c>
      <c r="U145" s="2" t="str">
        <f>IFERROR(VLOOKUP(D145,Product_Reference!$A$1:$F$26,3,0),"Not Found!!")</f>
        <v>Accessories</v>
      </c>
      <c r="V145" s="2" t="str">
        <f>IFERROR(VLOOKUP(D145,Product_Reference!$A$1:$F$26,4,0),"Not Found!!")</f>
        <v>KeyMaster</v>
      </c>
      <c r="W145" s="2" t="str">
        <f>IFERROR(VLOOKUP(D145,Product_Reference!$A$1:$F$26,5,0),"Not Found!!")</f>
        <v>PQR Ltd</v>
      </c>
      <c r="X145" s="2">
        <f>IFERROR(VLOOKUP(D145,Product_Reference!$A$1:$F$26,6,0),"Not Found!!")</f>
        <v>3.8</v>
      </c>
    </row>
    <row r="146" spans="1:24" x14ac:dyDescent="0.3">
      <c r="A146" s="2" t="s">
        <v>259</v>
      </c>
      <c r="B146" s="3">
        <v>46058</v>
      </c>
      <c r="C146" s="2" t="s">
        <v>260</v>
      </c>
      <c r="D146" s="2" t="s">
        <v>261</v>
      </c>
      <c r="E146" s="2">
        <v>1</v>
      </c>
      <c r="F146" s="2">
        <v>3200</v>
      </c>
      <c r="G146" s="2">
        <v>0.08</v>
      </c>
      <c r="H146" s="2" t="s">
        <v>35</v>
      </c>
      <c r="I146" s="2" t="s">
        <v>36</v>
      </c>
      <c r="J146" s="2" t="s">
        <v>37</v>
      </c>
      <c r="K146" s="8">
        <f t="shared" si="18"/>
        <v>3200</v>
      </c>
      <c r="L146" s="10">
        <f t="shared" si="19"/>
        <v>256</v>
      </c>
      <c r="M146" s="13">
        <f t="shared" si="20"/>
        <v>2944</v>
      </c>
      <c r="N146" s="15" t="str">
        <f t="shared" si="21"/>
        <v>Low Value</v>
      </c>
      <c r="O146" s="17" t="str">
        <f t="shared" si="22"/>
        <v>Low</v>
      </c>
      <c r="P146" s="2" t="str">
        <f t="shared" si="23"/>
        <v>036</v>
      </c>
      <c r="Q146" s="2" t="str">
        <f t="shared" si="24"/>
        <v xml:space="preserve">21 </v>
      </c>
      <c r="R146" s="2" t="str">
        <f t="shared" si="25"/>
        <v>Karan</v>
      </c>
      <c r="S146" s="2" t="str">
        <f t="shared" si="26"/>
        <v>North</v>
      </c>
      <c r="T146" s="2" t="str">
        <f>IFERROR(VLOOKUP(D146,Product_Reference!$A$1:$F$26,2,0),"Not Found!!")</f>
        <v>Not Found!!</v>
      </c>
      <c r="U146" s="2" t="str">
        <f>IFERROR(VLOOKUP(D146,Product_Reference!$A$1:$F$26,3,0),"Not Found!!")</f>
        <v>Not Found!!</v>
      </c>
      <c r="V146" s="2" t="str">
        <f>IFERROR(VLOOKUP(D146,Product_Reference!$A$1:$F$26,4,0),"Not Found!!")</f>
        <v>Not Found!!</v>
      </c>
      <c r="W146" s="2" t="str">
        <f>IFERROR(VLOOKUP(D146,Product_Reference!$A$1:$F$26,5,0),"Not Found!!")</f>
        <v>Not Found!!</v>
      </c>
      <c r="X146" s="2" t="str">
        <f>IFERROR(VLOOKUP(D146,Product_Reference!$A$1:$F$26,6,0),"Not Found!!")</f>
        <v>Not Found!!</v>
      </c>
    </row>
    <row r="147" spans="1:24" x14ac:dyDescent="0.3">
      <c r="A147" s="2" t="s">
        <v>262</v>
      </c>
      <c r="B147" s="3">
        <v>46060</v>
      </c>
      <c r="C147" s="2" t="s">
        <v>48</v>
      </c>
      <c r="D147" s="2" t="s">
        <v>88</v>
      </c>
      <c r="E147" s="2">
        <v>6</v>
      </c>
      <c r="F147" s="2">
        <v>2200</v>
      </c>
      <c r="G147" s="2">
        <v>0.2</v>
      </c>
      <c r="H147" s="2" t="s">
        <v>35</v>
      </c>
      <c r="I147" s="2" t="s">
        <v>36</v>
      </c>
      <c r="J147" s="2" t="s">
        <v>15</v>
      </c>
      <c r="K147" s="8">
        <f t="shared" si="18"/>
        <v>13200</v>
      </c>
      <c r="L147" s="10">
        <f t="shared" si="19"/>
        <v>2640</v>
      </c>
      <c r="M147" s="13">
        <f t="shared" si="20"/>
        <v>10560</v>
      </c>
      <c r="N147" s="15" t="str">
        <f t="shared" si="21"/>
        <v>Low Value</v>
      </c>
      <c r="O147" s="17" t="str">
        <f t="shared" si="22"/>
        <v>High</v>
      </c>
      <c r="P147" s="2" t="str">
        <f t="shared" si="23"/>
        <v>006</v>
      </c>
      <c r="Q147" s="2" t="str">
        <f t="shared" si="24"/>
        <v>120</v>
      </c>
      <c r="R147" s="2" t="str">
        <f t="shared" si="25"/>
        <v>Priya</v>
      </c>
      <c r="S147" s="2" t="str">
        <f t="shared" si="26"/>
        <v>North</v>
      </c>
      <c r="T147" s="2" t="str">
        <f>IFERROR(VLOOKUP(D147,Product_Reference!$A$1:$F$26,2,0),"Not Found!!")</f>
        <v>Desk Lamp</v>
      </c>
      <c r="U147" s="2" t="str">
        <f>IFERROR(VLOOKUP(D147,Product_Reference!$A$1:$F$26,3,0),"Not Found!!")</f>
        <v>Furniture</v>
      </c>
      <c r="V147" s="2" t="str">
        <f>IFERROR(VLOOKUP(D147,Product_Reference!$A$1:$F$26,4,0),"Not Found!!")</f>
        <v>BrightHome</v>
      </c>
      <c r="W147" s="2" t="str">
        <f>IFERROR(VLOOKUP(D147,Product_Reference!$A$1:$F$26,5,0),"Not Found!!")</f>
        <v>XYZ Ltd</v>
      </c>
      <c r="X147" s="2">
        <f>IFERROR(VLOOKUP(D147,Product_Reference!$A$1:$F$26,6,0),"Not Found!!")</f>
        <v>3.9</v>
      </c>
    </row>
    <row r="148" spans="1:24" x14ac:dyDescent="0.3">
      <c r="A148" s="2" t="s">
        <v>263</v>
      </c>
      <c r="B148" s="3">
        <v>46084</v>
      </c>
      <c r="C148" s="2" t="s">
        <v>264</v>
      </c>
      <c r="D148" s="2" t="s">
        <v>43</v>
      </c>
      <c r="E148" s="2">
        <v>6</v>
      </c>
      <c r="F148" s="2">
        <v>2500</v>
      </c>
      <c r="G148" s="2">
        <v>0.12</v>
      </c>
      <c r="H148" s="2" t="s">
        <v>35</v>
      </c>
      <c r="I148" s="2" t="s">
        <v>36</v>
      </c>
      <c r="J148" s="2" t="s">
        <v>27</v>
      </c>
      <c r="K148" s="8">
        <f t="shared" si="18"/>
        <v>15000</v>
      </c>
      <c r="L148" s="10">
        <f t="shared" si="19"/>
        <v>1800</v>
      </c>
      <c r="M148" s="13">
        <f t="shared" si="20"/>
        <v>13200</v>
      </c>
      <c r="N148" s="15" t="str">
        <f t="shared" si="21"/>
        <v>Low Value</v>
      </c>
      <c r="O148" s="17" t="str">
        <f t="shared" si="22"/>
        <v>Medium</v>
      </c>
      <c r="P148" s="2" t="str">
        <f t="shared" si="23"/>
        <v>018</v>
      </c>
      <c r="Q148" s="2" t="str">
        <f t="shared" si="24"/>
        <v>114</v>
      </c>
      <c r="R148" s="2" t="str">
        <f t="shared" si="25"/>
        <v>Sneha</v>
      </c>
      <c r="S148" s="2" t="str">
        <f t="shared" si="26"/>
        <v>North</v>
      </c>
      <c r="T148" s="2" t="str">
        <f>IFERROR(VLOOKUP(D148,Product_Reference!$A$1:$F$26,2,0),"Not Found!!")</f>
        <v>Power Bank 20000mAh</v>
      </c>
      <c r="U148" s="2" t="str">
        <f>IFERROR(VLOOKUP(D148,Product_Reference!$A$1:$F$26,3,0),"Not Found!!")</f>
        <v>Accessories</v>
      </c>
      <c r="V148" s="2" t="str">
        <f>IFERROR(VLOOKUP(D148,Product_Reference!$A$1:$F$26,4,0),"Not Found!!")</f>
        <v>PowerPlus</v>
      </c>
      <c r="W148" s="2" t="str">
        <f>IFERROR(VLOOKUP(D148,Product_Reference!$A$1:$F$26,5,0),"Not Found!!")</f>
        <v>PQR Ltd</v>
      </c>
      <c r="X148" s="2">
        <f>IFERROR(VLOOKUP(D148,Product_Reference!$A$1:$F$26,6,0),"Not Found!!")</f>
        <v>4.0999999999999996</v>
      </c>
    </row>
    <row r="149" spans="1:24" x14ac:dyDescent="0.3">
      <c r="A149" s="2" t="s">
        <v>265</v>
      </c>
      <c r="B149" s="3">
        <v>46090</v>
      </c>
      <c r="C149" s="2" t="s">
        <v>211</v>
      </c>
      <c r="D149" s="2" t="s">
        <v>199</v>
      </c>
      <c r="E149" s="2">
        <v>2</v>
      </c>
      <c r="F149" s="2">
        <v>18000</v>
      </c>
      <c r="G149" s="2">
        <v>0.2</v>
      </c>
      <c r="H149" s="2" t="s">
        <v>25</v>
      </c>
      <c r="I149" s="2" t="s">
        <v>20</v>
      </c>
      <c r="J149" s="2" t="s">
        <v>15</v>
      </c>
      <c r="K149" s="8">
        <f t="shared" si="18"/>
        <v>36000</v>
      </c>
      <c r="L149" s="10">
        <f t="shared" si="19"/>
        <v>7200</v>
      </c>
      <c r="M149" s="13">
        <f t="shared" si="20"/>
        <v>28800</v>
      </c>
      <c r="N149" s="15" t="str">
        <f t="shared" si="21"/>
        <v>Medium Value</v>
      </c>
      <c r="O149" s="17" t="str">
        <f t="shared" si="22"/>
        <v>Medium</v>
      </c>
      <c r="P149" s="2" t="str">
        <f t="shared" si="23"/>
        <v>005</v>
      </c>
      <c r="Q149" s="2" t="str">
        <f t="shared" si="24"/>
        <v>111</v>
      </c>
      <c r="R149" s="2" t="str">
        <f t="shared" si="25"/>
        <v>Priya</v>
      </c>
      <c r="S149" s="2" t="str">
        <f t="shared" si="26"/>
        <v>South</v>
      </c>
      <c r="T149" s="2" t="str">
        <f>IFERROR(VLOOKUP(D149,Product_Reference!$A$1:$F$26,2,0),"Not Found!!")</f>
        <v>Gaming Monitor 24</v>
      </c>
      <c r="U149" s="2" t="str">
        <f>IFERROR(VLOOKUP(D149,Product_Reference!$A$1:$F$26,3,0),"Not Found!!")</f>
        <v>Electronics</v>
      </c>
      <c r="V149" s="2" t="str">
        <f>IFERROR(VLOOKUP(D149,Product_Reference!$A$1:$F$26,4,0),"Not Found!!")</f>
        <v>ViewMax</v>
      </c>
      <c r="W149" s="2" t="str">
        <f>IFERROR(VLOOKUP(D149,Product_Reference!$A$1:$F$26,5,0),"Not Found!!")</f>
        <v>XYZ Ltd</v>
      </c>
      <c r="X149" s="2">
        <f>IFERROR(VLOOKUP(D149,Product_Reference!$A$1:$F$26,6,0),"Not Found!!")</f>
        <v>4.2</v>
      </c>
    </row>
    <row r="150" spans="1:24" x14ac:dyDescent="0.3">
      <c r="A150" s="2" t="s">
        <v>266</v>
      </c>
      <c r="B150" s="3">
        <v>46073</v>
      </c>
      <c r="C150" s="2" t="s">
        <v>113</v>
      </c>
      <c r="D150" s="2" t="s">
        <v>107</v>
      </c>
      <c r="E150" s="2">
        <v>6</v>
      </c>
      <c r="F150" s="2">
        <v>1800</v>
      </c>
      <c r="G150" s="2">
        <v>0</v>
      </c>
      <c r="H150" s="2" t="s">
        <v>19</v>
      </c>
      <c r="I150" s="2" t="s">
        <v>14</v>
      </c>
      <c r="J150" s="2" t="s">
        <v>50</v>
      </c>
      <c r="K150" s="8">
        <f t="shared" si="18"/>
        <v>10800</v>
      </c>
      <c r="L150" s="10">
        <f t="shared" si="19"/>
        <v>0</v>
      </c>
      <c r="M150" s="13">
        <f t="shared" si="20"/>
        <v>10800</v>
      </c>
      <c r="N150" s="15" t="str">
        <f t="shared" si="21"/>
        <v>Low Value</v>
      </c>
      <c r="O150" s="17" t="str">
        <f t="shared" si="22"/>
        <v>Medium</v>
      </c>
      <c r="P150" s="2" t="str">
        <f t="shared" si="23"/>
        <v>029</v>
      </c>
      <c r="Q150" s="2" t="str">
        <f t="shared" si="24"/>
        <v>117</v>
      </c>
      <c r="R150" s="2" t="str">
        <f t="shared" si="25"/>
        <v>Neha</v>
      </c>
      <c r="S150" s="2" t="str">
        <f t="shared" si="26"/>
        <v>East</v>
      </c>
      <c r="T150" s="2" t="str">
        <f>IFERROR(VLOOKUP(D150,Product_Reference!$A$1:$F$26,2,0),"Not Found!!")</f>
        <v>Laptop Stand</v>
      </c>
      <c r="U150" s="2" t="str">
        <f>IFERROR(VLOOKUP(D150,Product_Reference!$A$1:$F$26,3,0),"Not Found!!")</f>
        <v>Accessories</v>
      </c>
      <c r="V150" s="2" t="str">
        <f>IFERROR(VLOOKUP(D150,Product_Reference!$A$1:$F$26,4,0),"Not Found!!")</f>
        <v>ErgoTech</v>
      </c>
      <c r="W150" s="2" t="str">
        <f>IFERROR(VLOOKUP(D150,Product_Reference!$A$1:$F$26,5,0),"Not Found!!")</f>
        <v>PQR Ltd</v>
      </c>
      <c r="X150" s="2">
        <f>IFERROR(VLOOKUP(D150,Product_Reference!$A$1:$F$26,6,0),"Not Found!!")</f>
        <v>4</v>
      </c>
    </row>
    <row r="151" spans="1:24" x14ac:dyDescent="0.3">
      <c r="A151" s="2" t="s">
        <v>267</v>
      </c>
      <c r="B151" s="3">
        <v>46068</v>
      </c>
      <c r="C151" s="2" t="s">
        <v>232</v>
      </c>
      <c r="D151" s="2" t="s">
        <v>199</v>
      </c>
      <c r="E151" s="2">
        <v>3</v>
      </c>
      <c r="F151" s="2">
        <v>18000</v>
      </c>
      <c r="G151" s="2">
        <v>0</v>
      </c>
      <c r="H151" s="2" t="s">
        <v>25</v>
      </c>
      <c r="I151" s="2" t="s">
        <v>26</v>
      </c>
      <c r="J151" s="2" t="s">
        <v>27</v>
      </c>
      <c r="K151" s="8">
        <f t="shared" si="18"/>
        <v>54000</v>
      </c>
      <c r="L151" s="10">
        <f t="shared" si="19"/>
        <v>0</v>
      </c>
      <c r="M151" s="13">
        <f t="shared" si="20"/>
        <v>54000</v>
      </c>
      <c r="N151" s="15" t="str">
        <f t="shared" si="21"/>
        <v>High Value</v>
      </c>
      <c r="O151" s="17" t="str">
        <f t="shared" si="22"/>
        <v>Medium</v>
      </c>
      <c r="P151" s="2" t="str">
        <f t="shared" si="23"/>
        <v>037</v>
      </c>
      <c r="Q151" s="2" t="str">
        <f t="shared" si="24"/>
        <v>111</v>
      </c>
      <c r="R151" s="2" t="str">
        <f t="shared" si="25"/>
        <v>Sneha</v>
      </c>
      <c r="S151" s="2" t="str">
        <f t="shared" si="26"/>
        <v>West</v>
      </c>
      <c r="T151" s="2" t="str">
        <f>IFERROR(VLOOKUP(D151,Product_Reference!$A$1:$F$26,2,0),"Not Found!!")</f>
        <v>Gaming Monitor 24</v>
      </c>
      <c r="U151" s="2" t="str">
        <f>IFERROR(VLOOKUP(D151,Product_Reference!$A$1:$F$26,3,0),"Not Found!!")</f>
        <v>Electronics</v>
      </c>
      <c r="V151" s="2" t="str">
        <f>IFERROR(VLOOKUP(D151,Product_Reference!$A$1:$F$26,4,0),"Not Found!!")</f>
        <v>ViewMax</v>
      </c>
      <c r="W151" s="2" t="str">
        <f>IFERROR(VLOOKUP(D151,Product_Reference!$A$1:$F$26,5,0),"Not Found!!")</f>
        <v>XYZ Ltd</v>
      </c>
      <c r="X151" s="2">
        <f>IFERROR(VLOOKUP(D151,Product_Reference!$A$1:$F$26,6,0),"Not Found!!")</f>
        <v>4.2</v>
      </c>
    </row>
  </sheetData>
  <autoFilter ref="A1:O151" xr:uid="{00000000-0001-0000-0000-000000000000}"/>
  <dataValidations count="4">
    <dataValidation type="list" allowBlank="1" showInputMessage="1" showErrorMessage="1" sqref="AA17 AA35" xr:uid="{43BA9BC3-0335-4031-B41A-D8E34E2FFF1A}">
      <formula1>$AD$3:$AD$6</formula1>
    </dataValidation>
    <dataValidation type="list" allowBlank="1" showInputMessage="1" showErrorMessage="1" sqref="AB35 AA22" xr:uid="{29744326-CE29-4A59-8C81-E81C9918BED7}">
      <formula1>$AF$3:$AF$6</formula1>
    </dataValidation>
    <dataValidation type="list" allowBlank="1" showInputMessage="1" showErrorMessage="1" sqref="AA44" xr:uid="{2D0C9678-8E54-4A41-BC8A-A05AAC1355AA}">
      <formula1>$AF$8:$AF$13</formula1>
    </dataValidation>
    <dataValidation type="list" allowBlank="1" showInputMessage="1" showErrorMessage="1" sqref="AH34" xr:uid="{4D9C80BF-621D-44DB-91BA-3F732D9164F5}">
      <formula1>$AO$33:$AO$59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pane ySplit="1" topLeftCell="A2" activePane="bottomLeft" state="frozen"/>
      <selection pane="bottomLeft" activeCell="F8" sqref="F8"/>
    </sheetView>
  </sheetViews>
  <sheetFormatPr defaultRowHeight="14.4" x14ac:dyDescent="0.3"/>
  <cols>
    <col min="1" max="1" width="12" customWidth="1"/>
    <col min="2" max="2" width="29" customWidth="1"/>
    <col min="3" max="3" width="18" customWidth="1"/>
    <col min="4" max="5" width="12" customWidth="1"/>
    <col min="6" max="6" width="16" customWidth="1"/>
  </cols>
  <sheetData>
    <row r="1" spans="1:6" x14ac:dyDescent="0.3">
      <c r="A1" s="1" t="s">
        <v>3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272</v>
      </c>
    </row>
    <row r="2" spans="1:6" x14ac:dyDescent="0.3">
      <c r="A2" s="2" t="s">
        <v>60</v>
      </c>
      <c r="B2" s="2" t="s">
        <v>273</v>
      </c>
      <c r="C2" s="2" t="s">
        <v>274</v>
      </c>
      <c r="D2" s="2" t="s">
        <v>275</v>
      </c>
      <c r="E2" s="2" t="s">
        <v>276</v>
      </c>
      <c r="F2" s="2">
        <v>4.5</v>
      </c>
    </row>
    <row r="3" spans="1:6" x14ac:dyDescent="0.3">
      <c r="A3" s="2" t="s">
        <v>78</v>
      </c>
      <c r="B3" s="2" t="s">
        <v>277</v>
      </c>
      <c r="C3" s="2" t="s">
        <v>278</v>
      </c>
      <c r="D3" s="2" t="s">
        <v>279</v>
      </c>
      <c r="E3" s="2" t="s">
        <v>280</v>
      </c>
      <c r="F3" s="2">
        <v>4.2</v>
      </c>
    </row>
    <row r="4" spans="1:6" x14ac:dyDescent="0.3">
      <c r="A4" s="2" t="s">
        <v>69</v>
      </c>
      <c r="B4" s="2" t="s">
        <v>281</v>
      </c>
      <c r="C4" s="2" t="s">
        <v>274</v>
      </c>
      <c r="D4" s="2" t="s">
        <v>282</v>
      </c>
      <c r="E4" s="2" t="s">
        <v>276</v>
      </c>
      <c r="F4" s="2">
        <v>4.5999999999999996</v>
      </c>
    </row>
    <row r="5" spans="1:6" x14ac:dyDescent="0.3">
      <c r="A5" s="2" t="s">
        <v>126</v>
      </c>
      <c r="B5" s="2" t="s">
        <v>283</v>
      </c>
      <c r="C5" s="2" t="s">
        <v>274</v>
      </c>
      <c r="D5" s="2" t="s">
        <v>284</v>
      </c>
      <c r="E5" s="2" t="s">
        <v>285</v>
      </c>
      <c r="F5" s="2">
        <v>4.0999999999999996</v>
      </c>
    </row>
    <row r="6" spans="1:6" x14ac:dyDescent="0.3">
      <c r="A6" s="2" t="s">
        <v>146</v>
      </c>
      <c r="B6" s="2" t="s">
        <v>286</v>
      </c>
      <c r="C6" s="2" t="s">
        <v>278</v>
      </c>
      <c r="D6" s="2" t="s">
        <v>287</v>
      </c>
      <c r="E6" s="2" t="s">
        <v>280</v>
      </c>
      <c r="F6" s="2">
        <v>4.4000000000000004</v>
      </c>
    </row>
    <row r="7" spans="1:6" x14ac:dyDescent="0.3">
      <c r="A7" s="2" t="s">
        <v>94</v>
      </c>
      <c r="B7" s="2" t="s">
        <v>288</v>
      </c>
      <c r="C7" s="2" t="s">
        <v>289</v>
      </c>
      <c r="D7" s="2" t="s">
        <v>290</v>
      </c>
      <c r="E7" s="2" t="s">
        <v>291</v>
      </c>
      <c r="F7" s="2">
        <v>3.9</v>
      </c>
    </row>
    <row r="8" spans="1:6" x14ac:dyDescent="0.3">
      <c r="A8" s="2" t="s">
        <v>12</v>
      </c>
      <c r="B8" s="2" t="s">
        <v>292</v>
      </c>
      <c r="C8" s="2" t="s">
        <v>278</v>
      </c>
      <c r="D8" s="2" t="s">
        <v>293</v>
      </c>
      <c r="E8" s="2" t="s">
        <v>285</v>
      </c>
      <c r="F8" s="2">
        <v>4.3</v>
      </c>
    </row>
    <row r="9" spans="1:6" x14ac:dyDescent="0.3">
      <c r="A9" s="2" t="s">
        <v>103</v>
      </c>
      <c r="B9" s="2" t="s">
        <v>294</v>
      </c>
      <c r="C9" s="2" t="s">
        <v>295</v>
      </c>
      <c r="D9" s="2" t="s">
        <v>296</v>
      </c>
      <c r="E9" s="2" t="s">
        <v>276</v>
      </c>
      <c r="F9" s="2">
        <v>4</v>
      </c>
    </row>
    <row r="10" spans="1:6" x14ac:dyDescent="0.3">
      <c r="A10" s="2" t="s">
        <v>99</v>
      </c>
      <c r="B10" s="2" t="s">
        <v>297</v>
      </c>
      <c r="C10" s="2" t="s">
        <v>289</v>
      </c>
      <c r="D10" s="2" t="s">
        <v>290</v>
      </c>
      <c r="E10" s="2" t="s">
        <v>291</v>
      </c>
      <c r="F10" s="2">
        <v>4.7</v>
      </c>
    </row>
    <row r="11" spans="1:6" x14ac:dyDescent="0.3">
      <c r="A11" s="2" t="s">
        <v>34</v>
      </c>
      <c r="B11" s="2" t="s">
        <v>298</v>
      </c>
      <c r="C11" s="2" t="s">
        <v>299</v>
      </c>
      <c r="D11" s="2" t="s">
        <v>300</v>
      </c>
      <c r="E11" s="2" t="s">
        <v>285</v>
      </c>
      <c r="F11" s="2">
        <v>4.5</v>
      </c>
    </row>
    <row r="12" spans="1:6" x14ac:dyDescent="0.3">
      <c r="A12" s="2" t="s">
        <v>199</v>
      </c>
      <c r="B12" s="2" t="s">
        <v>301</v>
      </c>
      <c r="C12" s="2" t="s">
        <v>274</v>
      </c>
      <c r="D12" s="2" t="s">
        <v>302</v>
      </c>
      <c r="E12" s="2" t="s">
        <v>280</v>
      </c>
      <c r="F12" s="2">
        <v>4.2</v>
      </c>
    </row>
    <row r="13" spans="1:6" x14ac:dyDescent="0.3">
      <c r="A13" s="2" t="s">
        <v>81</v>
      </c>
      <c r="B13" s="2" t="s">
        <v>303</v>
      </c>
      <c r="C13" s="2" t="s">
        <v>278</v>
      </c>
      <c r="D13" s="2" t="s">
        <v>304</v>
      </c>
      <c r="E13" s="2" t="s">
        <v>276</v>
      </c>
      <c r="F13" s="2">
        <v>3.8</v>
      </c>
    </row>
    <row r="14" spans="1:6" x14ac:dyDescent="0.3">
      <c r="A14" s="2" t="s">
        <v>74</v>
      </c>
      <c r="B14" s="2" t="s">
        <v>305</v>
      </c>
      <c r="C14" s="2" t="s">
        <v>289</v>
      </c>
      <c r="D14" s="2" t="s">
        <v>290</v>
      </c>
      <c r="E14" s="2" t="s">
        <v>291</v>
      </c>
      <c r="F14" s="2">
        <v>4.4000000000000004</v>
      </c>
    </row>
    <row r="15" spans="1:6" x14ac:dyDescent="0.3">
      <c r="A15" s="2" t="s">
        <v>43</v>
      </c>
      <c r="B15" s="2" t="s">
        <v>306</v>
      </c>
      <c r="C15" s="2" t="s">
        <v>278</v>
      </c>
      <c r="D15" s="2" t="s">
        <v>307</v>
      </c>
      <c r="E15" s="2" t="s">
        <v>285</v>
      </c>
      <c r="F15" s="2">
        <v>4.0999999999999996</v>
      </c>
    </row>
    <row r="16" spans="1:6" x14ac:dyDescent="0.3">
      <c r="A16" s="2" t="s">
        <v>46</v>
      </c>
      <c r="B16" s="2" t="s">
        <v>308</v>
      </c>
      <c r="C16" s="2" t="s">
        <v>274</v>
      </c>
      <c r="D16" s="2" t="s">
        <v>302</v>
      </c>
      <c r="E16" s="2" t="s">
        <v>276</v>
      </c>
      <c r="F16" s="2">
        <v>4.5999999999999996</v>
      </c>
    </row>
    <row r="17" spans="1:6" x14ac:dyDescent="0.3">
      <c r="A17" s="2" t="s">
        <v>138</v>
      </c>
      <c r="B17" s="2" t="s">
        <v>309</v>
      </c>
      <c r="C17" s="2" t="s">
        <v>295</v>
      </c>
      <c r="D17" s="2" t="s">
        <v>296</v>
      </c>
      <c r="E17" s="2" t="s">
        <v>280</v>
      </c>
      <c r="F17" s="2">
        <v>3.7</v>
      </c>
    </row>
    <row r="18" spans="1:6" x14ac:dyDescent="0.3">
      <c r="A18" s="2" t="s">
        <v>107</v>
      </c>
      <c r="B18" s="2" t="s">
        <v>310</v>
      </c>
      <c r="C18" s="2" t="s">
        <v>278</v>
      </c>
      <c r="D18" s="2" t="s">
        <v>311</v>
      </c>
      <c r="E18" s="2" t="s">
        <v>285</v>
      </c>
      <c r="F18" s="2">
        <v>4</v>
      </c>
    </row>
    <row r="19" spans="1:6" x14ac:dyDescent="0.3">
      <c r="A19" s="2" t="s">
        <v>49</v>
      </c>
      <c r="B19" s="2" t="s">
        <v>312</v>
      </c>
      <c r="C19" s="2" t="s">
        <v>313</v>
      </c>
      <c r="D19" s="2" t="s">
        <v>314</v>
      </c>
      <c r="E19" s="2" t="s">
        <v>291</v>
      </c>
      <c r="F19" s="2">
        <v>4.3</v>
      </c>
    </row>
    <row r="20" spans="1:6" x14ac:dyDescent="0.3">
      <c r="A20" s="2" t="s">
        <v>18</v>
      </c>
      <c r="B20" s="2" t="s">
        <v>315</v>
      </c>
      <c r="C20" s="2" t="s">
        <v>316</v>
      </c>
      <c r="D20" s="2" t="s">
        <v>317</v>
      </c>
      <c r="E20" s="2" t="s">
        <v>276</v>
      </c>
      <c r="F20" s="2">
        <v>4.2</v>
      </c>
    </row>
    <row r="21" spans="1:6" x14ac:dyDescent="0.3">
      <c r="A21" s="2" t="s">
        <v>88</v>
      </c>
      <c r="B21" s="2" t="s">
        <v>318</v>
      </c>
      <c r="C21" s="2" t="s">
        <v>316</v>
      </c>
      <c r="D21" s="2" t="s">
        <v>319</v>
      </c>
      <c r="E21" s="2" t="s">
        <v>280</v>
      </c>
      <c r="F21" s="2">
        <v>3.9</v>
      </c>
    </row>
    <row r="22" spans="1:6" x14ac:dyDescent="0.3">
      <c r="A22" s="2" t="s">
        <v>30</v>
      </c>
      <c r="B22" s="2" t="s">
        <v>320</v>
      </c>
      <c r="C22" s="2" t="s">
        <v>274</v>
      </c>
      <c r="D22" s="2" t="s">
        <v>302</v>
      </c>
      <c r="E22" s="2" t="s">
        <v>285</v>
      </c>
      <c r="F22" s="2">
        <v>4.0999999999999996</v>
      </c>
    </row>
    <row r="23" spans="1:6" x14ac:dyDescent="0.3">
      <c r="A23" s="2" t="s">
        <v>24</v>
      </c>
      <c r="B23" s="2" t="s">
        <v>321</v>
      </c>
      <c r="C23" s="2" t="s">
        <v>322</v>
      </c>
      <c r="D23" s="2" t="s">
        <v>323</v>
      </c>
      <c r="E23" s="2" t="s">
        <v>276</v>
      </c>
      <c r="F23" s="2">
        <v>4.5</v>
      </c>
    </row>
    <row r="24" spans="1:6" x14ac:dyDescent="0.3">
      <c r="A24" s="2" t="s">
        <v>55</v>
      </c>
      <c r="B24" s="2" t="s">
        <v>324</v>
      </c>
      <c r="C24" s="2" t="s">
        <v>322</v>
      </c>
      <c r="D24" s="2" t="s">
        <v>323</v>
      </c>
      <c r="E24" s="2" t="s">
        <v>280</v>
      </c>
      <c r="F24" s="2">
        <v>4</v>
      </c>
    </row>
    <row r="25" spans="1:6" x14ac:dyDescent="0.3">
      <c r="A25" s="2" t="s">
        <v>58</v>
      </c>
      <c r="B25" s="2" t="s">
        <v>325</v>
      </c>
      <c r="C25" s="2" t="s">
        <v>278</v>
      </c>
      <c r="D25" s="2" t="s">
        <v>287</v>
      </c>
      <c r="E25" s="2" t="s">
        <v>285</v>
      </c>
      <c r="F25" s="2">
        <v>3.8</v>
      </c>
    </row>
    <row r="26" spans="1:6" x14ac:dyDescent="0.3">
      <c r="A26" s="2" t="s">
        <v>83</v>
      </c>
      <c r="B26" s="2" t="s">
        <v>326</v>
      </c>
      <c r="C26" s="2" t="s">
        <v>327</v>
      </c>
      <c r="D26" s="2" t="s">
        <v>328</v>
      </c>
      <c r="E26" s="2" t="s">
        <v>276</v>
      </c>
      <c r="F26" s="2">
        <v>4.2</v>
      </c>
    </row>
  </sheetData>
  <autoFilter ref="A1:F2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Product_Reference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Rupak Sarkar</cp:lastModifiedBy>
  <dcterms:created xsi:type="dcterms:W3CDTF">2026-10-08T05:12:24Z</dcterms:created>
  <dcterms:modified xsi:type="dcterms:W3CDTF">2026-10-08T09:24:09Z</dcterms:modified>
</cp:coreProperties>
</file>