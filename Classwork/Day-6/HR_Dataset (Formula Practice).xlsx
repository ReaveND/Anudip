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k\Desktop\"/>
    </mc:Choice>
  </mc:AlternateContent>
  <xr:revisionPtr revIDLastSave="0" documentId="8_{35119C9A-DB48-482C-9DAE-7112D816A66E}" xr6:coauthVersionLast="47" xr6:coauthVersionMax="47" xr10:uidLastSave="{00000000-0000-0000-0000-000000000000}"/>
  <bookViews>
    <workbookView xWindow="-108" yWindow="-108" windowWidth="23256" windowHeight="12456" activeTab="2" xr2:uid="{31872DB8-5A74-4D28-8270-765D7BCD8A29}"/>
  </bookViews>
  <sheets>
    <sheet name="Employees" sheetId="1" r:id="rId1"/>
    <sheet name="Departments" sheetId="2" r:id="rId2"/>
    <sheet name="Perform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F3" i="2"/>
  <c r="F4" i="2"/>
  <c r="F5" i="2"/>
  <c r="F6" i="2"/>
  <c r="F2" i="2"/>
  <c r="E3" i="2"/>
  <c r="E4" i="2"/>
  <c r="E5" i="2"/>
  <c r="E6" i="2"/>
  <c r="E2" i="2"/>
  <c r="D3" i="2"/>
  <c r="D4" i="2"/>
  <c r="D5" i="2"/>
  <c r="D6" i="2"/>
  <c r="D2" i="2"/>
</calcChain>
</file>

<file path=xl/sharedStrings.xml><?xml version="1.0" encoding="utf-8"?>
<sst xmlns="http://schemas.openxmlformats.org/spreadsheetml/2006/main" count="5544" uniqueCount="1532">
  <si>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</si>
  <si>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</si>
  <si>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</si>
  <si>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</si>
  <si>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</si>
  <si>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</si>
  <si>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</si>
  <si>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</si>
  <si>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</si>
  <si>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</si>
  <si>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</si>
  <si>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</si>
  <si>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</si>
  <si>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</si>
  <si>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</si>
  <si>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</si>
  <si>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</si>
  <si>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</si>
  <si>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</si>
  <si>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</si>
  <si>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</si>
  <si>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</si>
  <si>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</si>
  <si>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</si>
  <si>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</si>
  <si>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</si>
  <si>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</si>
  <si>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</si>
  <si>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</si>
  <si>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</si>
  <si>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</si>
  <si>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</si>
  <si>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</si>
  <si>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</si>
  <si>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</si>
  <si>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</si>
  <si>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</si>
  <si>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</si>
  <si>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</si>
  <si>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</si>
  <si>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</si>
  <si>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</si>
  <si>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</si>
  <si>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</si>
  <si>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</si>
  <si>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</si>
  <si>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</si>
  <si>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</si>
  <si>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</si>
  <si>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</si>
  <si>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</si>
  <si>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</si>
  <si>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</si>
  <si>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</si>
  <si>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</si>
  <si>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</si>
  <si>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</si>
  <si>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</si>
  <si>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</si>
  <si>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</si>
  <si>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</si>
  <si>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</si>
  <si>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</si>
  <si>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</si>
  <si>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</si>
  <si>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</si>
  <si>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</si>
  <si>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</si>
  <si>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</si>
  <si>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</si>
  <si>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</si>
  <si>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</si>
  <si>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</si>
  <si>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</si>
  <si>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</si>
  <si>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</si>
  <si>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</si>
  <si>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</si>
  <si>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</si>
  <si>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</si>
  <si>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</si>
  <si>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</si>
  <si>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</si>
  <si>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</si>
  <si>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</si>
  <si>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</si>
  <si>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</si>
  <si>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</si>
  <si>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</si>
  <si>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</si>
  <si>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</si>
  <si>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</si>
  <si>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</si>
  <si>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</si>
  <si>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</si>
  <si>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</si>
  <si>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</si>
  <si>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</si>
  <si>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</si>
  <si>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</si>
  <si>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</si>
  <si>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</si>
  <si>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</si>
  <si>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</si>
  <si>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</si>
  <si>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</si>
  <si>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</si>
  <si>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</si>
  <si>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</si>
  <si>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</si>
  <si>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</si>
  <si>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</si>
  <si>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</si>
  <si>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</si>
  <si>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</si>
  <si>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</si>
  <si>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</si>
  <si>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</si>
  <si>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</si>
  <si>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</si>
  <si>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</si>
  <si>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</si>
  <si>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</si>
  <si>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</si>
  <si>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</si>
  <si>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</si>
  <si>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</si>
  <si>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</si>
  <si>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</si>
  <si>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</si>
  <si>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</si>
  <si>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</si>
  <si>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</si>
  <si>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</si>
  <si>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</si>
  <si>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</si>
  <si>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</si>
  <si>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</si>
  <si>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</si>
  <si>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</si>
  <si>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</si>
  <si>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</si>
  <si>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</si>
  <si>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</si>
  <si>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</si>
  <si>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</si>
  <si>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</si>
  <si>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</si>
  <si>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</si>
  <si>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</si>
  <si>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</si>
  <si>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</si>
  <si>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</si>
  <si>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</si>
  <si>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</si>
  <si>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</si>
  <si>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</si>
  <si>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</si>
  <si>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</si>
  <si>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</si>
  <si>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</si>
  <si>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</si>
  <si>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</si>
  <si>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</si>
  <si>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</si>
  <si>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</si>
  <si>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</si>
  <si>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</si>
  <si>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</si>
  <si>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</si>
  <si>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</si>
  <si>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</si>
  <si>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</si>
  <si>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</si>
  <si>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</si>
  <si>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</si>
  <si>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</si>
  <si>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</si>
  <si>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</si>
  <si>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</si>
  <si>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</si>
  <si>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</si>
  <si>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</si>
  <si>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</si>
  <si>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</si>
  <si>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</si>
  <si>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</si>
  <si>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</si>
  <si>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</si>
  <si>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</si>
  <si>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</si>
  <si>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</si>
  <si>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</si>
  <si>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</si>
  <si>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</si>
  <si>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</si>
  <si>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</si>
  <si>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</si>
  <si>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</si>
  <si>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</si>
  <si>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</si>
  <si>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</si>
  <si>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</si>
  <si>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</si>
  <si>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</si>
  <si>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</si>
  <si>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</si>
  <si>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</si>
  <si>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</si>
  <si>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</si>
  <si>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</si>
  <si>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</si>
  <si>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</si>
  <si>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</si>
  <si>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</si>
  <si>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</si>
  <si>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</si>
  <si>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</si>
  <si>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</si>
  <si>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</si>
  <si>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</si>
  <si>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</si>
  <si>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</si>
  <si>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</si>
  <si>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</si>
  <si>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</si>
  <si>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</si>
  <si>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</si>
  <si>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</si>
  <si>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</si>
  <si>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</si>
  <si>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</si>
  <si>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</si>
  <si>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</si>
  <si>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</si>
  <si>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</si>
  <si>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</si>
  <si>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</si>
  <si>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</si>
  <si>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</si>
  <si>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</si>
  <si>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</si>
  <si>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</si>
  <si>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</si>
  <si>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</si>
  <si>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</si>
  <si>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</si>
  <si>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</si>
  <si>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</si>
  <si>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</si>
  <si>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</si>
  <si>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</si>
  <si>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</si>
  <si>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</si>
  <si>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</si>
  <si>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</si>
  <si>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</si>
  <si>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</si>
  <si>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</si>
  <si>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</si>
  <si>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</si>
  <si>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</si>
  <si>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</si>
  <si>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</si>
  <si>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</si>
  <si>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</si>
  <si>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</si>
  <si>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</si>
  <si>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</si>
  <si>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</si>
  <si>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</si>
  <si>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</si>
  <si>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</si>
  <si>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</si>
  <si>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</si>
  <si>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</si>
  <si>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</si>
  <si>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</si>
  <si>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</si>
  <si>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</si>
  <si>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</si>
  <si>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</si>
  <si>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</si>
  <si>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</si>
  <si>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</si>
  <si>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</si>
  <si>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</si>
  <si>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</si>
  <si>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</si>
  <si>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</si>
  <si>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</si>
  <si>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</si>
  <si>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</si>
  <si>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</si>
  <si>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</si>
  <si>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</si>
  <si>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</si>
  <si>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</si>
  <si>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</si>
  <si>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</si>
  <si>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</si>
  <si>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</si>
  <si>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</si>
  <si>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</si>
  <si>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</si>
  <si>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</si>
  <si>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</si>
  <si>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</si>
  <si>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</si>
  <si>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</si>
  <si>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</si>
  <si>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</si>
  <si>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</si>
  <si>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</si>
  <si>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</si>
  <si>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</si>
  <si>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</si>
  <si>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</si>
  <si>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</si>
  <si>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</si>
  <si>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</si>
  <si>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</si>
  <si>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</si>
  <si>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</si>
  <si>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</si>
  <si>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</si>
  <si>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</si>
  <si>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</si>
  <si>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</si>
  <si>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</si>
  <si>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</si>
  <si>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</si>
  <si>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</si>
  <si>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</si>
  <si>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</si>
  <si>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</si>
  <si>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</si>
  <si>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</si>
  <si>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</si>
  <si>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</si>
  <si>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</si>
  <si>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</si>
  <si>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</si>
  <si>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</si>
  <si>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</si>
  <si>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</si>
  <si>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</si>
  <si>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</si>
  <si>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</si>
  <si>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</si>
  <si>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</si>
  <si>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</si>
  <si>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</si>
  <si>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</si>
  <si>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</si>
  <si>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</si>
  <si>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</si>
  <si>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</si>
  <si>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</si>
  <si>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</si>
  <si>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</si>
  <si>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</si>
  <si>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</si>
  <si>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</si>
  <si>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</si>
  <si>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</si>
  <si>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</si>
  <si>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</si>
  <si>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</si>
  <si>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</si>
  <si>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</si>
  <si>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</si>
  <si>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</si>
  <si>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</si>
  <si>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</si>
  <si>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</si>
  <si>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</si>
  <si>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</si>
  <si>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</si>
  <si>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</si>
  <si>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</si>
  <si>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</si>
  <si>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</si>
  <si>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</si>
  <si>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</si>
  <si>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</si>
  <si>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</si>
  <si>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</si>
  <si>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</si>
  <si>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</si>
  <si>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</si>
  <si>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</si>
  <si>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</si>
  <si>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</si>
  <si>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</si>
  <si>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</si>
  <si>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</si>
  <si>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</si>
  <si>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</si>
  <si>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</si>
  <si>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</si>
  <si>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</si>
  <si>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</si>
  <si>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</si>
  <si>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</si>
  <si>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</si>
  <si>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</si>
  <si>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</si>
  <si>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</si>
  <si>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</si>
  <si>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</si>
  <si>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</si>
  <si>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</si>
  <si>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</si>
  <si>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</si>
  <si>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</si>
  <si>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</si>
  <si>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</si>
  <si>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</si>
  <si>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</si>
  <si>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</si>
  <si>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</si>
  <si>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</si>
  <si>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</si>
  <si>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</si>
  <si>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</si>
  <si>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</si>
  <si>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</si>
  <si>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</si>
  <si>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</si>
  <si>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</si>
  <si>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</si>
  <si>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</si>
  <si>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</si>
  <si>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</si>
  <si>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</si>
  <si>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</si>
  <si>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</si>
  <si>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</si>
  <si>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</si>
  <si>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</si>
  <si>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</si>
  <si>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</si>
  <si>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</si>
  <si>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</si>
  <si>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</si>
  <si>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</si>
  <si>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</si>
  <si>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</si>
  <si>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</si>
  <si>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</si>
  <si>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</si>
  <si>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</si>
  <si>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</si>
  <si>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</si>
  <si>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</si>
  <si>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</si>
  <si>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</si>
  <si>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</si>
  <si>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</si>
  <si>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</si>
  <si>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</si>
  <si>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</si>
  <si>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</si>
  <si>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</si>
  <si>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</si>
  <si>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</si>
  <si>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</si>
  <si>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</si>
  <si>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</si>
  <si>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</si>
  <si>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</si>
  <si>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</si>
  <si>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</si>
  <si>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</si>
  <si>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</si>
  <si>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</si>
  <si>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</si>
  <si>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</si>
  <si>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</si>
  <si>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</si>
  <si>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</si>
  <si>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</si>
  <si>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</si>
  <si>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</si>
  <si>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</si>
  <si>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</si>
  <si>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</si>
  <si>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</si>
  <si>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</si>
  <si>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</si>
  <si>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</si>
  <si>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</si>
  <si>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</si>
  <si>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</si>
  <si>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</si>
  <si>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</si>
  <si>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</si>
  <si>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</si>
  <si>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</si>
  <si>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</si>
  <si>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</si>
  <si>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</si>
  <si>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</si>
  <si>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</si>
  <si>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</si>
  <si>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</si>
  <si>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</si>
  <si>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</si>
  <si>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</si>
  <si>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</si>
  <si>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</si>
  <si>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</si>
  <si>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</si>
  <si>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</si>
  <si>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</si>
  <si>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</si>
  <si>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</si>
  <si>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</si>
  <si>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</si>
  <si>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</si>
  <si>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</si>
  <si>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</si>
  <si>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</si>
  <si>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</si>
  <si>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</si>
  <si>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</si>
  <si>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</si>
  <si>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</si>
  <si>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</si>
  <si>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</si>
  <si>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</si>
  <si>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</si>
  <si>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</si>
  <si>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</si>
  <si>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</si>
  <si>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</si>
  <si>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</si>
  <si>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</si>
  <si>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</si>
  <si>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</si>
  <si>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</si>
  <si>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</si>
  <si>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</si>
  <si>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</si>
  <si>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</si>
  <si>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</si>
  <si>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</si>
  <si>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</si>
  <si>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</si>
  <si>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</si>
  <si>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</si>
  <si>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</si>
  <si>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</si>
  <si>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</si>
  <si>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</si>
  <si>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</si>
  <si>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</si>
  <si>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</si>
  <si>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</si>
  <si>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</si>
  <si>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</si>
  <si>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</si>
  <si>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</si>
  <si>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</si>
  <si>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</si>
  <si>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</si>
  <si>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</si>
  <si>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</si>
  <si>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</si>
  <si>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</si>
  <si>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</si>
  <si>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</si>
  <si>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</si>
  <si>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</si>
  <si>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</si>
  <si>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</si>
  <si>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</si>
  <si>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</si>
  <si>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</si>
  <si>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</si>
  <si>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</si>
  <si>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</si>
  <si>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</si>
  <si>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</si>
  <si>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</si>
  <si>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</si>
  <si>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</si>
  <si>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</si>
  <si>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</si>
  <si>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</si>
  <si>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</si>
  <si>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</si>
  <si>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</si>
  <si>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</si>
  <si>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</si>
  <si>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</si>
  <si>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</si>
  <si>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</si>
  <si>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</si>
  <si>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</si>
  <si>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</si>
  <si>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</si>
  <si>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</si>
  <si>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</si>
  <si>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</si>
  <si>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</si>
  <si>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</si>
  <si>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</si>
  <si>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</si>
  <si>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</si>
  <si>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</si>
  <si>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</si>
  <si>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</si>
  <si>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</si>
  <si>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</si>
  <si>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</si>
  <si>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</si>
  <si>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</si>
  <si>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</si>
  <si>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</si>
  <si>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</si>
  <si>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</si>
  <si>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</si>
  <si>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</si>
  <si>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</si>
  <si>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</si>
  <si>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</si>
  <si>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</si>
  <si>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</si>
  <si>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</si>
  <si>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</si>
  <si>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</si>
  <si>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</si>
  <si>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</si>
  <si>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</si>
  <si>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</si>
  <si>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</si>
  <si>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</si>
  <si>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</si>
  <si>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</si>
  <si>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</si>
  <si>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</si>
  <si>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</si>
  <si>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</si>
  <si>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</si>
  <si>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</si>
  <si>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</si>
  <si>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</si>
  <si>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</si>
  <si>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</si>
  <si>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</si>
  <si>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</si>
  <si>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</si>
  <si>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</si>
  <si>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</si>
  <si>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</si>
  <si>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</si>
  <si>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</si>
  <si>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</si>
  <si>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</si>
  <si>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</si>
  <si>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</si>
  <si>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</si>
  <si>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</si>
  <si>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</si>
  <si>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</si>
  <si>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</si>
  <si>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</si>
  <si>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</si>
  <si>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</si>
  <si>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</si>
  <si>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</si>
  <si>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</si>
  <si>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</si>
  <si>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</si>
  <si>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</si>
  <si>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</si>
  <si>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</si>
  <si>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</si>
  <si>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</si>
  <si>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</si>
  <si>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</si>
  <si>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</si>
  <si>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</si>
  <si>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</si>
  <si>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</si>
  <si>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</si>
  <si>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</si>
  <si>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</si>
  <si>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</si>
  <si>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</si>
  <si>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</si>
  <si>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</si>
  <si>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</si>
  <si>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</si>
  <si>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</si>
  <si>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</si>
  <si>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</si>
  <si>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</si>
  <si>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</si>
  <si>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</si>
  <si>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</si>
  <si>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</si>
  <si>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</si>
  <si>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</si>
  <si>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</si>
  <si>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</si>
  <si>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</si>
  <si>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</si>
  <si>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</si>
  <si>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</si>
  <si>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</si>
  <si>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</si>
  <si>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</si>
  <si>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</si>
  <si>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</si>
  <si>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</si>
  <si>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</si>
  <si>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</si>
  <si>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</si>
  <si>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</si>
  <si>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</si>
  <si>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</si>
  <si>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</si>
  <si>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</si>
  <si>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</si>
  <si>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</si>
  <si>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</si>
  <si>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</si>
  <si>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</si>
  <si>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</si>
  <si>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</si>
  <si>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</si>
  <si>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</si>
  <si>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</si>
  <si>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</si>
  <si>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</si>
  <si>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</si>
  <si>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</si>
  <si>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</si>
  <si>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</si>
  <si>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</si>
  <si>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</si>
  <si>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</si>
  <si>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</si>
  <si>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</si>
  <si>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</si>
  <si>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</si>
  <si>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</si>
  <si>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</si>
  <si>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</si>
  <si>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</si>
  <si>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</si>
  <si>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</si>
  <si>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</si>
  <si>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</si>
  <si>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</si>
  <si>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</si>
  <si>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</si>
  <si>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</si>
  <si>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</si>
  <si>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</si>
  <si>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</si>
  <si>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</si>
  <si>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</si>
  <si>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</si>
  <si>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</si>
  <si>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</si>
  <si>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</si>
  <si>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</si>
  <si>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</si>
  <si>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</si>
  <si>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</si>
  <si>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</si>
  <si>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</si>
  <si>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</si>
  <si>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</si>
  <si>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</si>
  <si>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</si>
  <si>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</si>
  <si>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</si>
  <si>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</si>
  <si>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</si>
  <si>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</si>
  <si>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</si>
  <si>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</si>
  <si>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</si>
  <si>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</si>
  <si>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</si>
  <si>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</si>
  <si>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</si>
  <si>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</si>
  <si>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</si>
  <si>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</si>
  <si>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</si>
  <si>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</si>
  <si>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</si>
  <si>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</si>
  <si>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</si>
  <si>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</si>
  <si>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</si>
  <si>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</si>
  <si>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</si>
  <si>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</si>
  <si>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</si>
  <si>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</si>
  <si>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</si>
  <si>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</si>
  <si>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</si>
  <si>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</si>
  <si>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</si>
  <si>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</si>
  <si>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</si>
  <si>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</si>
  <si>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</si>
  <si>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</si>
  <si>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</si>
  <si>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</si>
  <si>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</si>
  <si>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</si>
  <si>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</si>
  <si>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</si>
  <si>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</si>
  <si>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</si>
  <si>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</si>
  <si>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</si>
  <si>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</si>
  <si>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</si>
  <si>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</si>
  <si>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</si>
  <si>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</si>
  <si>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</si>
  <si>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</si>
  <si>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</si>
  <si>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</si>
  <si>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</si>
  <si>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</si>
  <si>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</si>
  <si>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</si>
  <si>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</si>
  <si>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</si>
  <si>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</si>
  <si>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</si>
  <si>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</si>
  <si>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</si>
  <si>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</si>
  <si>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</si>
  <si>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</si>
  <si>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</si>
  <si>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</si>
  <si>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</si>
  <si>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</si>
  <si>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</si>
  <si>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</si>
  <si>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</si>
  <si>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</si>
  <si>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</si>
  <si>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</si>
  <si>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</si>
  <si>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</si>
  <si>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</si>
  <si>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</si>
  <si>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</si>
  <si>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</si>
  <si>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</si>
  <si>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</si>
  <si>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</si>
  <si>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</si>
  <si>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</si>
  <si>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</si>
  <si>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</si>
  <si>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</si>
  <si>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</si>
  <si>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</si>
  <si>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</si>
  <si>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</si>
  <si>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</si>
  <si>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</si>
  <si>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</si>
  <si>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</si>
  <si>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</si>
  <si>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</si>
  <si>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</si>
  <si>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</si>
  <si>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</si>
  <si>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</si>
  <si>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</si>
  <si>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</si>
  <si>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</si>
  <si>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</si>
  <si>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</si>
  <si>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</si>
  <si>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</si>
  <si>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</si>
  <si>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</si>
  <si>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</si>
  <si>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</si>
  <si>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</si>
  <si>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</si>
  <si>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</si>
  <si>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</si>
  <si>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</si>
  <si>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</si>
  <si>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</si>
  <si>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</si>
  <si>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</si>
  <si>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</si>
  <si>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</si>
  <si>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</si>
  <si>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</si>
  <si>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</si>
  <si>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</si>
  <si>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</si>
  <si>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</si>
  <si>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</si>
  <si>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</si>
  <si>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</si>
  <si>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</si>
  <si>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</si>
  <si>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</si>
  <si>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</si>
  <si>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</si>
  <si>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</si>
  <si>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</si>
  <si>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</si>
  <si>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</si>
  <si>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</si>
  <si>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</si>
  <si>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</si>
  <si>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</si>
  <si>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</si>
  <si>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</si>
  <si>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</si>
  <si>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</si>
  <si>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</si>
  <si>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</si>
  <si>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</si>
  <si>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</si>
  <si>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</si>
  <si>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</si>
  <si>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</si>
  <si>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</si>
  <si>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</si>
  <si>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</si>
  <si>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</si>
  <si>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</si>
  <si>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</si>
  <si>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</si>
  <si>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</si>
  <si>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</si>
  <si>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</si>
  <si>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</si>
  <si>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</si>
  <si>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</si>
  <si>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</si>
  <si>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</si>
  <si>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</si>
  <si>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</si>
  <si>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</si>
  <si>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</si>
  <si>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</si>
  <si>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</si>
  <si>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</si>
  <si>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</si>
  <si>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</si>
  <si>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</si>
  <si>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</si>
  <si>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</si>
  <si>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</si>
  <si>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</si>
  <si>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</si>
  <si>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</si>
  <si>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</si>
  <si>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</si>
  <si>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</si>
  <si>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</si>
  <si>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</si>
  <si>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</si>
  <si>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</si>
  <si>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</si>
  <si>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</si>
  <si>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</si>
  <si>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</si>
  <si>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</si>
  <si>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</si>
  <si>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</si>
  <si>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</si>
  <si>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</si>
  <si>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</si>
  <si>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</si>
  <si>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</si>
  <si>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</si>
  <si>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</si>
  <si>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</si>
  <si>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</si>
  <si>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</si>
  <si>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</si>
  <si>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</si>
  <si>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</si>
  <si>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</si>
  <si>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</si>
  <si>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</si>
  <si>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</si>
  <si>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</si>
  <si>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</si>
  <si>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</si>
  <si>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</si>
  <si>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</si>
  <si>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</si>
  <si>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</si>
  <si>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</si>
  <si>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</si>
  <si>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</si>
  <si>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</si>
  <si>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</si>
  <si>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</si>
  <si>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</si>
  <si>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</si>
  <si>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</si>
  <si>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</si>
  <si>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</si>
  <si>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</si>
  <si>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</si>
  <si>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</si>
  <si>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</si>
  <si>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</si>
  <si>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</si>
  <si>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</si>
  <si>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</si>
  <si>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</si>
  <si>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</si>
  <si>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</si>
  <si>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</si>
  <si>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</si>
  <si>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</si>
  <si>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</si>
  <si>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</si>
  <si>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</si>
  <si>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</si>
  <si>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</si>
  <si>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</si>
  <si>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</si>
  <si>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</si>
  <si>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</si>
  <si>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</si>
  <si>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</si>
  <si>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</si>
  <si>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</si>
  <si>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</si>
  <si>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</si>
  <si>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</si>
  <si>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</si>
  <si>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</si>
  <si>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</si>
  <si>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</si>
  <si>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</si>
  <si>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</si>
  <si>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</si>
  <si>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</si>
  <si>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</si>
  <si>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</si>
  <si>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</si>
  <si>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</si>
  <si>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</si>
  <si>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</si>
  <si>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</si>
  <si>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</si>
  <si>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</si>
  <si>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</si>
  <si>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</si>
  <si>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</si>
  <si>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</si>
  <si>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</si>
  <si>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</si>
  <si>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</si>
  <si>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</si>
  <si>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</si>
  <si>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</si>
  <si>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</si>
  <si>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</si>
  <si>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</si>
  <si>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</si>
  <si>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</si>
  <si>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</si>
  <si>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</si>
  <si>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</si>
  <si>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</si>
  <si>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</si>
  <si>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</si>
  <si>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</si>
  <si>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</si>
  <si>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</si>
  <si>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</si>
  <si>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</si>
  <si>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</si>
  <si>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</si>
  <si>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</si>
  <si>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</si>
  <si>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</si>
  <si>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</si>
  <si>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</si>
  <si>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</si>
  <si>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</si>
  <si>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</si>
  <si>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</si>
  <si>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</si>
  <si>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</si>
  <si>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</si>
  <si>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</si>
  <si>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</si>
  <si>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</si>
  <si>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</si>
  <si>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</si>
  <si>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</si>
  <si>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</si>
  <si>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</si>
  <si>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</si>
  <si>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</si>
  <si>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</si>
  <si>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</si>
  <si>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</si>
  <si>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</si>
  <si>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</si>
  <si>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</si>
  <si>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</si>
  <si>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</si>
  <si>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</si>
  <si>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</si>
  <si>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</si>
  <si>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</si>
  <si>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</si>
  <si>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</si>
  <si>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</si>
  <si>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</si>
  <si>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</si>
  <si>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</si>
  <si>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</si>
  <si>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</si>
  <si>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</si>
  <si>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</si>
  <si>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</si>
  <si>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</si>
  <si>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</si>
  <si>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</si>
  <si>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</si>
  <si>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</si>
  <si>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</si>
  <si>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</si>
  <si>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</si>
  <si>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</si>
  <si>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</si>
  <si>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</si>
  <si>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</si>
  <si>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</si>
  <si>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</si>
  <si>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</si>
  <si>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</si>
  <si>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</si>
  <si>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</si>
  <si>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</si>
  <si>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</si>
  <si>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</si>
  <si>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</si>
  <si>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</si>
  <si>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</si>
  <si>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</si>
  <si>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</si>
  <si>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</si>
  <si>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</si>
  <si>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</si>
  <si>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</si>
  <si>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</si>
  <si>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</si>
  <si>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</si>
  <si>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</si>
  <si>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</si>
  <si>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</si>
  <si>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</si>
  <si>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</si>
  <si>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</si>
  <si>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</si>
  <si>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</si>
  <si>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</si>
  <si>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</si>
  <si>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</si>
  <si>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</si>
  <si>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</si>
  <si>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</si>
  <si>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</si>
  <si>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</si>
  <si>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</si>
  <si>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</si>
  <si>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</si>
  <si>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</si>
  <si>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</si>
  <si>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</si>
  <si>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</si>
  <si>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</si>
  <si>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</si>
  <si>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</si>
  <si>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</si>
  <si>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</si>
  <si>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</si>
  <si>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</si>
  <si>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</si>
  <si>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</si>
  <si>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</si>
  <si>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</si>
  <si>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</si>
  <si>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</si>
  <si>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</si>
  <si>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</si>
  <si>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</si>
  <si>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</si>
  <si>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</si>
  <si>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</si>
  <si>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</si>
  <si>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</si>
  <si>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</si>
  <si>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</si>
  <si>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</si>
  <si>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</si>
  <si>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</si>
  <si>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</si>
  <si>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</si>
  <si>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</si>
  <si>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</si>
  <si>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</si>
  <si>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</si>
  <si>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</si>
  <si>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</si>
  <si>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</si>
  <si>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</si>
  <si>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</si>
  <si>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</si>
  <si>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</si>
  <si>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</si>
  <si>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</si>
  <si>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</si>
  <si>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</si>
  <si>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</si>
  <si>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</si>
  <si>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</si>
  <si>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</si>
  <si>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</si>
  <si>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</si>
  <si>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</si>
  <si>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</si>
  <si>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</si>
  <si>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</si>
  <si>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</si>
  <si>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</si>
  <si>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</si>
  <si>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</si>
  <si>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</si>
  <si>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</si>
  <si>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</si>
  <si>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</si>
  <si>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</si>
  <si>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</si>
  <si>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</si>
  <si>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</si>
  <si>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</si>
  <si>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</si>
  <si>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</si>
  <si>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</si>
  <si>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</si>
  <si>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</si>
  <si>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</si>
  <si>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</si>
  <si>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</si>
  <si>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</si>
  <si>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</si>
  <si>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</si>
  <si>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</si>
  <si>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</si>
  <si>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</si>
  <si>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</si>
  <si>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</si>
  <si>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</si>
  <si>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</si>
  <si>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</si>
  <si>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</si>
  <si>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</si>
  <si>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</si>
  <si>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</si>
  <si>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</si>
  <si>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</si>
  <si>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</si>
  <si>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</si>
  <si>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</si>
  <si>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</si>
  <si>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</si>
  <si>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</si>
  <si>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</si>
  <si>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</si>
  <si>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</si>
  <si>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</si>
  <si>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</si>
  <si>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</si>
  <si>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</si>
  <si>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</si>
  <si>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</si>
  <si>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</si>
  <si>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</si>
  <si>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</si>
  <si>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</si>
  <si>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</si>
  <si>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</si>
  <si>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</si>
  <si>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</si>
  <si>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</si>
  <si>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</si>
  <si>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</si>
  <si>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</si>
  <si>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</si>
  <si>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</si>
  <si>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</si>
  <si>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</si>
  <si>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</si>
  <si>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</si>
  <si>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</si>
  <si>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</si>
  <si>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</si>
  <si>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</si>
  <si>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</si>
  <si>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</si>
  <si>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</si>
  <si>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</si>
  <si>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</si>
  <si>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</si>
  <si>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</si>
  <si>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</si>
  <si>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</si>
  <si>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</si>
  <si>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</si>
  <si>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</si>
  <si>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</si>
  <si>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</si>
  <si>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</si>
  <si>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</si>
  <si>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</si>
  <si>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</si>
  <si>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</si>
  <si>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</si>
  <si>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</si>
  <si>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</si>
  <si>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</si>
  <si>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</si>
  <si>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</si>
  <si>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</si>
  <si>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</si>
  <si>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</si>
  <si>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</si>
  <si>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</si>
  <si>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</si>
  <si>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</si>
  <si>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</si>
  <si>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</si>
  <si>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</si>
  <si>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</si>
  <si>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</si>
  <si>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</si>
  <si>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</si>
  <si>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</si>
  <si>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</si>
  <si>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</si>
  <si>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</si>
  <si>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</si>
  <si>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</si>
  <si>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</si>
  <si>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</si>
  <si>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</si>
  <si>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</si>
  <si>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</si>
  <si>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</si>
  <si>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</si>
  <si>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</si>
  <si>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</si>
  <si>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</si>
  <si>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</si>
  <si>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</si>
  <si>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</si>
  <si>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</si>
  <si>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</si>
  <si>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</si>
  <si>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</si>
  <si>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</si>
  <si>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</si>
  <si>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</si>
  <si>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</si>
  <si>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</si>
  <si>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</si>
  <si>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</si>
  <si>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</si>
  <si>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</si>
  <si>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</si>
  <si>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</si>
  <si>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</si>
  <si>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</si>
  <si>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</si>
  <si>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</si>
  <si>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</si>
  <si>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</si>
  <si>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</si>
  <si>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</si>
  <si>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</si>
  <si>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</si>
  <si>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</si>
  <si>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</si>
  <si>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</si>
  <si>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</si>
  <si>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</si>
  <si>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</si>
  <si>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</si>
  <si>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</si>
  <si>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</si>
  <si>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</si>
  <si>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</si>
  <si>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</si>
  <si>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</si>
  <si>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</si>
  <si>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</si>
  <si>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</si>
  <si>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</si>
  <si>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</si>
  <si>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</si>
  <si>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</si>
  <si>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</si>
  <si>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</si>
  <si>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</si>
  <si>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</si>
  <si>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</si>
  <si>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</si>
  <si>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</si>
  <si>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</si>
  <si>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</si>
  <si>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</si>
  <si>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</si>
  <si>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</si>
  <si>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</si>
  <si>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</si>
  <si>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</si>
  <si>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</si>
  <si>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</si>
  <si>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</si>
  <si>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</si>
  <si>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</si>
  <si>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</si>
  <si>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</si>
  <si>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</si>
  <si>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</si>
  <si>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</si>
  <si>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</si>
  <si>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</si>
  <si>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</si>
  <si>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</si>
  <si>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</si>
  <si>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</si>
  <si>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</si>
  <si>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</si>
  <si>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</si>
  <si>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</si>
  <si>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</si>
  <si>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</si>
  <si>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</si>
  <si>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</si>
  <si>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</si>
  <si>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</si>
  <si>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</si>
  <si>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</si>
  <si>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</si>
  <si>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</si>
  <si>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</si>
  <si>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</si>
  <si>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</si>
  <si>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</si>
  <si>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</si>
  <si>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</si>
  <si>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</si>
  <si>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</si>
  <si>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</si>
  <si>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</si>
  <si>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</si>
  <si>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</si>
  <si>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</si>
  <si>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</si>
  <si>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</si>
  <si>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</si>
  <si>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</si>
  <si>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</si>
  <si>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</si>
  <si>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</si>
  <si>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</si>
  <si>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</si>
  <si>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</si>
  <si>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</si>
  <si>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</si>
  <si>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</si>
  <si>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</si>
  <si>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</si>
  <si>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</si>
  <si>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</si>
  <si>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</si>
  <si>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</si>
  <si>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</si>
  <si>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</si>
  <si>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</si>
  <si>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No. of Employees</t>
  </si>
  <si>
    <t>Total Salary</t>
  </si>
  <si>
    <t>Average Salary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</si>
  <si>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</si>
  <si>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</si>
  <si>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</si>
  <si>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</si>
  <si>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</si>
  <si>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</si>
  <si>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</si>
  <si>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</si>
  <si>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</si>
  <si>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</si>
  <si>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1. Create a column named No of Employees in Department worksheet &amp; find the total number of employees of each department.</t>
  </si>
  <si>
    <t>2. Create a column named Total Salary in Department worksheet &amp; calculate total salary of each department.</t>
  </si>
  <si>
    <t>3. Create a column named Average Salary in Department worksheet &amp; calculate average salary of each department.</t>
  </si>
  <si>
    <t>ReviewYear</t>
  </si>
  <si>
    <t>Rating</t>
  </si>
  <si>
    <t>TrainingHours</t>
  </si>
  <si>
    <t>ProjectsCompleted</t>
  </si>
  <si>
    <t>1. Count the no of Employees who has completed the projects more than equal to 5.</t>
  </si>
  <si>
    <t>No of Emp Project Completed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</si>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</sst>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B3E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4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3" xfId="0" applyFill="1" applyBorder="1"/>
    <xf numFmtId="0" fontId="0" fillId="4" borderId="2" xfId="0" applyFill="1" applyBorder="1"/>
    <xf numFmtId="0" fontId="0" fillId="4" borderId="1" xfId="0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0" fillId="3" borderId="4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3" xfId="0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0" fillId="3" borderId="2" xfId="0" applyFill="1" applyBorder="1"/>
    <xf numFmtId="0" fontId="0" fillId="3" borderId="1" xfId="0" applyFill="1" applyBorder="1"/>
    <xf numFmtId="0" fontId="0" fillId="0" borderId="0" xfId="0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5" borderId="0" xfId="0" applyFont="1" applyFill="1"/>
    <xf numFmtId="0" fontId="0" fillId="0" borderId="1" xfId="0" applyBorder="1"/>
    <xf numFmtId="0" fontId="1" fillId="0" borderId="1" xfId="0" applyFont="1" applyBorder="1"/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0" xfId="0" applyFont="1" applyFill="1"/>
    <xf numFmtId="0" fontId="1" fillId="8" borderId="0" xfId="0" applyFont="1" applyFill="1"/>
    <xf numFmtId="0" fontId="0" fillId="8" borderId="0" xfId="0" applyFill="1"/>
    <xf numFmtId="0" fontId="2" fillId="7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8" borderId="1" xfId="0" applyFill="1" applyBorder="1"/>
    <xf numFmtId="0" fontId="0" fillId="6" borderId="1" xfId="0" applyFill="1" applyBorder="1"/>
    <xf numFmtId="2" fontId="0" fillId="5" borderId="1" xfId="0" applyNumberFormat="1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4A38-6064-472D-9714-056CE6195720}">
  <dimension ref="A1:L501"/>
  <sheetViews>
    <sheetView topLeftCell="A475" workbookViewId="0">
      <selection sqref="A1:L501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9.44140625" bestFit="1" customWidth="1"/>
    <col min="4" max="4" width="7.109375" bestFit="1" customWidth="1"/>
    <col min="5" max="5" width="4" bestFit="1" customWidth="1"/>
    <col min="6" max="6" width="12.77734375" bestFit="1" customWidth="1"/>
    <col min="7" max="7" width="10.5546875" bestFit="1" customWidth="1"/>
    <col min="8" max="8" width="10.33203125" bestFit="1" customWidth="1"/>
    <col min="9" max="9" width="7" bestFit="1" customWidth="1"/>
    <col min="10" max="10" width="9.109375" bestFit="1" customWidth="1"/>
    <col min="11" max="11" width="26.77734375" bestFit="1" customWidth="1"/>
    <col min="12" max="12" width="7.21875" bestFit="1" customWidth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2" t="s">
        <v>21</v>
      </c>
    </row>
    <row r="3" spans="1:12" x14ac:dyDescent="0.3">
      <c r="A3" s="3" t="s">
        <v>22</v>
      </c>
      <c r="B3" s="3" t="s">
        <v>13</v>
      </c>
      <c r="C3" s="3" t="s">
        <v>23</v>
      </c>
      <c r="D3" s="3" t="s">
        <v>24</v>
      </c>
      <c r="E3" s="3">
        <v>48</v>
      </c>
      <c r="F3" s="3" t="s">
        <v>25</v>
      </c>
      <c r="G3" s="3" t="s">
        <v>26</v>
      </c>
      <c r="H3" s="3" t="s">
        <v>27</v>
      </c>
      <c r="I3" s="3">
        <v>97903</v>
      </c>
      <c r="J3" s="3" t="s">
        <v>19</v>
      </c>
      <c r="K3" s="3" t="s">
        <v>28</v>
      </c>
      <c r="L3" s="4" t="s">
        <v>21</v>
      </c>
    </row>
    <row r="4" spans="1:12" x14ac:dyDescent="0.3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2" t="s">
        <v>36</v>
      </c>
    </row>
    <row r="5" spans="1:12" x14ac:dyDescent="0.3">
      <c r="A5" s="3" t="s">
        <v>37</v>
      </c>
      <c r="B5" s="3" t="s">
        <v>38</v>
      </c>
      <c r="C5" s="3" t="s">
        <v>14</v>
      </c>
      <c r="D5" s="3" t="s">
        <v>15</v>
      </c>
      <c r="E5" s="3">
        <v>50</v>
      </c>
      <c r="F5" s="3" t="s">
        <v>39</v>
      </c>
      <c r="G5" s="3" t="s">
        <v>40</v>
      </c>
      <c r="H5" s="3" t="s">
        <v>41</v>
      </c>
      <c r="I5" s="3">
        <v>99336</v>
      </c>
      <c r="J5" s="3" t="s">
        <v>34</v>
      </c>
      <c r="K5" s="3" t="s">
        <v>42</v>
      </c>
      <c r="L5" s="4" t="s">
        <v>21</v>
      </c>
    </row>
    <row r="6" spans="1:12" x14ac:dyDescent="0.3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2" t="s">
        <v>21</v>
      </c>
    </row>
    <row r="7" spans="1:12" x14ac:dyDescent="0.3">
      <c r="A7" s="3" t="s">
        <v>48</v>
      </c>
      <c r="B7" s="3" t="s">
        <v>49</v>
      </c>
      <c r="C7" s="3" t="s">
        <v>14</v>
      </c>
      <c r="D7" s="3" t="s">
        <v>24</v>
      </c>
      <c r="E7" s="3">
        <v>33</v>
      </c>
      <c r="F7" s="3" t="s">
        <v>50</v>
      </c>
      <c r="G7" s="3" t="s">
        <v>32</v>
      </c>
      <c r="H7" s="3" t="s">
        <v>51</v>
      </c>
      <c r="I7" s="3">
        <v>93173</v>
      </c>
      <c r="J7" s="3" t="s">
        <v>34</v>
      </c>
      <c r="K7" s="3" t="s">
        <v>52</v>
      </c>
      <c r="L7" s="4" t="s">
        <v>21</v>
      </c>
    </row>
    <row r="8" spans="1:12" x14ac:dyDescent="0.3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2" t="s">
        <v>21</v>
      </c>
    </row>
    <row r="9" spans="1:12" x14ac:dyDescent="0.3">
      <c r="A9" s="3" t="s">
        <v>57</v>
      </c>
      <c r="B9" s="3" t="s">
        <v>58</v>
      </c>
      <c r="C9" s="3" t="s">
        <v>14</v>
      </c>
      <c r="D9" s="3" t="s">
        <v>15</v>
      </c>
      <c r="E9" s="3">
        <v>42</v>
      </c>
      <c r="F9" s="3" t="s">
        <v>50</v>
      </c>
      <c r="G9" s="3" t="s">
        <v>40</v>
      </c>
      <c r="H9" s="3" t="s">
        <v>59</v>
      </c>
      <c r="I9" s="3">
        <v>114547</v>
      </c>
      <c r="J9" s="3" t="s">
        <v>60</v>
      </c>
      <c r="K9" s="3" t="s">
        <v>61</v>
      </c>
      <c r="L9" s="4" t="s">
        <v>36</v>
      </c>
    </row>
    <row r="10" spans="1:12" x14ac:dyDescent="0.3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2" t="s">
        <v>36</v>
      </c>
    </row>
    <row r="11" spans="1:12" x14ac:dyDescent="0.3">
      <c r="A11" s="3" t="s">
        <v>67</v>
      </c>
      <c r="B11" s="3" t="s">
        <v>13</v>
      </c>
      <c r="C11" s="3" t="s">
        <v>23</v>
      </c>
      <c r="D11" s="3" t="s">
        <v>15</v>
      </c>
      <c r="E11" s="3">
        <v>25</v>
      </c>
      <c r="F11" s="3" t="s">
        <v>39</v>
      </c>
      <c r="G11" s="3" t="s">
        <v>17</v>
      </c>
      <c r="H11" s="3" t="s">
        <v>68</v>
      </c>
      <c r="I11" s="3">
        <v>60673</v>
      </c>
      <c r="J11" s="3" t="s">
        <v>65</v>
      </c>
      <c r="K11" s="3" t="s">
        <v>69</v>
      </c>
      <c r="L11" s="4" t="s">
        <v>36</v>
      </c>
    </row>
    <row r="12" spans="1:12" x14ac:dyDescent="0.3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2" t="s">
        <v>36</v>
      </c>
    </row>
    <row r="13" spans="1:12" x14ac:dyDescent="0.3">
      <c r="A13" s="3" t="s">
        <v>74</v>
      </c>
      <c r="B13" s="3" t="s">
        <v>30</v>
      </c>
      <c r="C13" s="3" t="s">
        <v>45</v>
      </c>
      <c r="D13" s="3" t="s">
        <v>24</v>
      </c>
      <c r="E13" s="3">
        <v>49</v>
      </c>
      <c r="F13" s="3" t="s">
        <v>25</v>
      </c>
      <c r="G13" s="3" t="s">
        <v>26</v>
      </c>
      <c r="H13" s="3" t="s">
        <v>75</v>
      </c>
      <c r="I13" s="3">
        <v>63823</v>
      </c>
      <c r="J13" s="3" t="s">
        <v>65</v>
      </c>
      <c r="K13" s="3" t="s">
        <v>76</v>
      </c>
      <c r="L13" s="4" t="s">
        <v>21</v>
      </c>
    </row>
    <row r="14" spans="1:12" x14ac:dyDescent="0.3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2" t="s">
        <v>36</v>
      </c>
    </row>
    <row r="15" spans="1:12" x14ac:dyDescent="0.3">
      <c r="A15" s="3" t="s">
        <v>82</v>
      </c>
      <c r="B15" s="3" t="s">
        <v>30</v>
      </c>
      <c r="C15" s="3" t="s">
        <v>83</v>
      </c>
      <c r="D15" s="3" t="s">
        <v>24</v>
      </c>
      <c r="E15" s="3">
        <v>44</v>
      </c>
      <c r="F15" s="3" t="s">
        <v>16</v>
      </c>
      <c r="G15" s="3" t="s">
        <v>32</v>
      </c>
      <c r="H15" s="3" t="s">
        <v>84</v>
      </c>
      <c r="I15" s="3">
        <v>116901</v>
      </c>
      <c r="J15" s="3" t="s">
        <v>65</v>
      </c>
      <c r="K15" s="3" t="s">
        <v>85</v>
      </c>
      <c r="L15" s="4" t="s">
        <v>21</v>
      </c>
    </row>
    <row r="16" spans="1:12" x14ac:dyDescent="0.3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2" t="s">
        <v>36</v>
      </c>
    </row>
    <row r="17" spans="1:12" x14ac:dyDescent="0.3">
      <c r="A17" s="3" t="s">
        <v>89</v>
      </c>
      <c r="B17" s="3" t="s">
        <v>54</v>
      </c>
      <c r="C17" s="3" t="s">
        <v>90</v>
      </c>
      <c r="D17" s="3" t="s">
        <v>15</v>
      </c>
      <c r="E17" s="3">
        <v>30</v>
      </c>
      <c r="F17" s="3" t="s">
        <v>31</v>
      </c>
      <c r="G17" s="3" t="s">
        <v>32</v>
      </c>
      <c r="H17" s="3" t="s">
        <v>91</v>
      </c>
      <c r="I17" s="3">
        <v>95723</v>
      </c>
      <c r="J17" s="3" t="s">
        <v>65</v>
      </c>
      <c r="K17" s="3" t="s">
        <v>92</v>
      </c>
      <c r="L17" s="4" t="s">
        <v>36</v>
      </c>
    </row>
    <row r="18" spans="1:12" x14ac:dyDescent="0.3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2" t="s">
        <v>36</v>
      </c>
    </row>
    <row r="19" spans="1:12" x14ac:dyDescent="0.3">
      <c r="A19" s="3" t="s">
        <v>98</v>
      </c>
      <c r="B19" s="3" t="s">
        <v>58</v>
      </c>
      <c r="C19" s="3" t="s">
        <v>23</v>
      </c>
      <c r="D19" s="3" t="s">
        <v>24</v>
      </c>
      <c r="E19" s="3">
        <v>38</v>
      </c>
      <c r="F19" s="3" t="s">
        <v>16</v>
      </c>
      <c r="G19" s="3" t="s">
        <v>26</v>
      </c>
      <c r="H19" s="3" t="s">
        <v>99</v>
      </c>
      <c r="I19" s="3">
        <v>102733</v>
      </c>
      <c r="J19" s="3" t="s">
        <v>19</v>
      </c>
      <c r="K19" s="3" t="s">
        <v>100</v>
      </c>
      <c r="L19" s="4" t="s">
        <v>36</v>
      </c>
    </row>
    <row r="20" spans="1:12" x14ac:dyDescent="0.3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2" t="s">
        <v>21</v>
      </c>
    </row>
    <row r="21" spans="1:12" x14ac:dyDescent="0.3">
      <c r="A21" s="3" t="s">
        <v>104</v>
      </c>
      <c r="B21" s="3" t="s">
        <v>94</v>
      </c>
      <c r="C21" s="3" t="s">
        <v>14</v>
      </c>
      <c r="D21" s="3" t="s">
        <v>24</v>
      </c>
      <c r="E21" s="3">
        <v>60</v>
      </c>
      <c r="F21" s="3" t="s">
        <v>39</v>
      </c>
      <c r="G21" s="3" t="s">
        <v>32</v>
      </c>
      <c r="H21" s="3" t="s">
        <v>105</v>
      </c>
      <c r="I21" s="3">
        <v>69718</v>
      </c>
      <c r="J21" s="3" t="s">
        <v>34</v>
      </c>
      <c r="K21" s="3" t="s">
        <v>106</v>
      </c>
      <c r="L21" s="4" t="s">
        <v>36</v>
      </c>
    </row>
    <row r="22" spans="1:12" x14ac:dyDescent="0.3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2" t="s">
        <v>21</v>
      </c>
    </row>
    <row r="23" spans="1:12" x14ac:dyDescent="0.3">
      <c r="A23" s="3" t="s">
        <v>111</v>
      </c>
      <c r="B23" s="3" t="s">
        <v>13</v>
      </c>
      <c r="C23" s="3" t="s">
        <v>14</v>
      </c>
      <c r="D23" s="3" t="s">
        <v>24</v>
      </c>
      <c r="E23" s="3">
        <v>51</v>
      </c>
      <c r="F23" s="3" t="s">
        <v>16</v>
      </c>
      <c r="G23" s="3" t="s">
        <v>108</v>
      </c>
      <c r="H23" s="3" t="s">
        <v>112</v>
      </c>
      <c r="I23" s="3">
        <v>51631</v>
      </c>
      <c r="J23" s="3" t="s">
        <v>65</v>
      </c>
      <c r="K23" s="3" t="s">
        <v>113</v>
      </c>
      <c r="L23" s="4" t="s">
        <v>36</v>
      </c>
    </row>
    <row r="24" spans="1:12" x14ac:dyDescent="0.3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2" t="s">
        <v>21</v>
      </c>
    </row>
    <row r="25" spans="1:12" x14ac:dyDescent="0.3">
      <c r="A25" s="3" t="s">
        <v>117</v>
      </c>
      <c r="B25" s="3" t="s">
        <v>44</v>
      </c>
      <c r="C25" s="3" t="s">
        <v>63</v>
      </c>
      <c r="D25" s="3" t="s">
        <v>24</v>
      </c>
      <c r="E25" s="3">
        <v>35</v>
      </c>
      <c r="F25" s="3" t="s">
        <v>50</v>
      </c>
      <c r="G25" s="3" t="s">
        <v>17</v>
      </c>
      <c r="H25" s="3" t="s">
        <v>118</v>
      </c>
      <c r="I25" s="3">
        <v>79578</v>
      </c>
      <c r="J25" s="3" t="s">
        <v>19</v>
      </c>
      <c r="K25" s="3" t="s">
        <v>119</v>
      </c>
      <c r="L25" s="4" t="s">
        <v>36</v>
      </c>
    </row>
    <row r="26" spans="1:12" x14ac:dyDescent="0.3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2" t="s">
        <v>36</v>
      </c>
    </row>
    <row r="27" spans="1:12" x14ac:dyDescent="0.3">
      <c r="A27" s="3" t="s">
        <v>123</v>
      </c>
      <c r="B27" s="3" t="s">
        <v>58</v>
      </c>
      <c r="C27" s="3" t="s">
        <v>14</v>
      </c>
      <c r="D27" s="3" t="s">
        <v>24</v>
      </c>
      <c r="E27" s="3">
        <v>47</v>
      </c>
      <c r="F27" s="3" t="s">
        <v>31</v>
      </c>
      <c r="G27" s="3" t="s">
        <v>26</v>
      </c>
      <c r="H27" s="3" t="s">
        <v>124</v>
      </c>
      <c r="I27" s="3">
        <v>95862</v>
      </c>
      <c r="J27" s="3" t="s">
        <v>19</v>
      </c>
      <c r="K27" s="3" t="s">
        <v>125</v>
      </c>
      <c r="L27" s="4" t="s">
        <v>21</v>
      </c>
    </row>
    <row r="28" spans="1:12" x14ac:dyDescent="0.3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2" t="s">
        <v>36</v>
      </c>
    </row>
    <row r="29" spans="1:12" x14ac:dyDescent="0.3">
      <c r="A29" s="3" t="s">
        <v>129</v>
      </c>
      <c r="B29" s="3" t="s">
        <v>44</v>
      </c>
      <c r="C29" s="3" t="s">
        <v>130</v>
      </c>
      <c r="D29" s="3" t="s">
        <v>15</v>
      </c>
      <c r="E29" s="3">
        <v>27</v>
      </c>
      <c r="F29" s="3" t="s">
        <v>50</v>
      </c>
      <c r="G29" s="3" t="s">
        <v>26</v>
      </c>
      <c r="H29" s="3" t="s">
        <v>131</v>
      </c>
      <c r="I29" s="3">
        <v>111149</v>
      </c>
      <c r="J29" s="3" t="s">
        <v>80</v>
      </c>
      <c r="K29" s="3" t="s">
        <v>132</v>
      </c>
      <c r="L29" s="4" t="s">
        <v>21</v>
      </c>
    </row>
    <row r="30" spans="1:12" x14ac:dyDescent="0.3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2" t="s">
        <v>36</v>
      </c>
    </row>
    <row r="31" spans="1:12" x14ac:dyDescent="0.3">
      <c r="A31" s="3" t="s">
        <v>136</v>
      </c>
      <c r="B31" s="3" t="s">
        <v>38</v>
      </c>
      <c r="C31" s="3" t="s">
        <v>14</v>
      </c>
      <c r="D31" s="3" t="s">
        <v>24</v>
      </c>
      <c r="E31" s="3">
        <v>41</v>
      </c>
      <c r="F31" s="3" t="s">
        <v>25</v>
      </c>
      <c r="G31" s="3" t="s">
        <v>17</v>
      </c>
      <c r="H31" s="3" t="s">
        <v>137</v>
      </c>
      <c r="I31" s="3">
        <v>103851</v>
      </c>
      <c r="J31" s="3" t="s">
        <v>34</v>
      </c>
      <c r="K31" s="3" t="s">
        <v>138</v>
      </c>
      <c r="L31" s="4" t="s">
        <v>36</v>
      </c>
    </row>
    <row r="32" spans="1:12" x14ac:dyDescent="0.3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2" t="s">
        <v>36</v>
      </c>
    </row>
    <row r="33" spans="1:12" x14ac:dyDescent="0.3">
      <c r="A33" s="3" t="s">
        <v>142</v>
      </c>
      <c r="B33" s="3" t="s">
        <v>143</v>
      </c>
      <c r="C33" s="3" t="s">
        <v>95</v>
      </c>
      <c r="D33" s="3" t="s">
        <v>15</v>
      </c>
      <c r="E33" s="3">
        <v>31</v>
      </c>
      <c r="F33" s="3" t="s">
        <v>16</v>
      </c>
      <c r="G33" s="3" t="s">
        <v>40</v>
      </c>
      <c r="H33" s="3" t="s">
        <v>144</v>
      </c>
      <c r="I33" s="3">
        <v>115269</v>
      </c>
      <c r="J33" s="3" t="s">
        <v>80</v>
      </c>
      <c r="K33" s="3" t="s">
        <v>145</v>
      </c>
      <c r="L33" s="4" t="s">
        <v>36</v>
      </c>
    </row>
    <row r="34" spans="1:12" x14ac:dyDescent="0.3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2" t="s">
        <v>21</v>
      </c>
    </row>
    <row r="35" spans="1:12" x14ac:dyDescent="0.3">
      <c r="A35" s="3" t="s">
        <v>149</v>
      </c>
      <c r="B35" s="3" t="s">
        <v>58</v>
      </c>
      <c r="C35" s="3" t="s">
        <v>83</v>
      </c>
      <c r="D35" s="3" t="s">
        <v>24</v>
      </c>
      <c r="E35" s="3">
        <v>57</v>
      </c>
      <c r="F35" s="3" t="s">
        <v>16</v>
      </c>
      <c r="G35" s="3" t="s">
        <v>108</v>
      </c>
      <c r="H35" s="3" t="s">
        <v>150</v>
      </c>
      <c r="I35" s="3">
        <v>113291</v>
      </c>
      <c r="J35" s="3" t="s">
        <v>80</v>
      </c>
      <c r="K35" s="3" t="s">
        <v>151</v>
      </c>
      <c r="L35" s="4" t="s">
        <v>36</v>
      </c>
    </row>
    <row r="36" spans="1:12" x14ac:dyDescent="0.3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2" t="s">
        <v>36</v>
      </c>
    </row>
    <row r="37" spans="1:12" x14ac:dyDescent="0.3">
      <c r="A37" s="3" t="s">
        <v>155</v>
      </c>
      <c r="B37" s="3" t="s">
        <v>30</v>
      </c>
      <c r="C37" s="3" t="s">
        <v>45</v>
      </c>
      <c r="D37" s="3" t="s">
        <v>24</v>
      </c>
      <c r="E37" s="3">
        <v>40</v>
      </c>
      <c r="F37" s="3" t="s">
        <v>39</v>
      </c>
      <c r="G37" s="3" t="s">
        <v>108</v>
      </c>
      <c r="H37" s="3" t="s">
        <v>156</v>
      </c>
      <c r="I37" s="3">
        <v>35947</v>
      </c>
      <c r="J37" s="3" t="s">
        <v>65</v>
      </c>
      <c r="K37" s="3" t="s">
        <v>157</v>
      </c>
      <c r="L37" s="4" t="s">
        <v>36</v>
      </c>
    </row>
    <row r="38" spans="1:12" x14ac:dyDescent="0.3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2" t="s">
        <v>36</v>
      </c>
    </row>
    <row r="39" spans="1:12" x14ac:dyDescent="0.3">
      <c r="A39" s="3" t="s">
        <v>161</v>
      </c>
      <c r="B39" s="3" t="s">
        <v>143</v>
      </c>
      <c r="C39" s="3" t="s">
        <v>90</v>
      </c>
      <c r="D39" s="3" t="s">
        <v>24</v>
      </c>
      <c r="E39" s="3">
        <v>53</v>
      </c>
      <c r="F39" s="3" t="s">
        <v>50</v>
      </c>
      <c r="G39" s="3" t="s">
        <v>40</v>
      </c>
      <c r="H39" s="3" t="s">
        <v>162</v>
      </c>
      <c r="I39" s="3">
        <v>38763</v>
      </c>
      <c r="J39" s="3" t="s">
        <v>60</v>
      </c>
      <c r="K39" s="3" t="s">
        <v>163</v>
      </c>
      <c r="L39" s="4" t="s">
        <v>21</v>
      </c>
    </row>
    <row r="40" spans="1:12" x14ac:dyDescent="0.3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2" t="s">
        <v>21</v>
      </c>
    </row>
    <row r="41" spans="1:12" x14ac:dyDescent="0.3">
      <c r="A41" s="3" t="s">
        <v>168</v>
      </c>
      <c r="B41" s="3" t="s">
        <v>143</v>
      </c>
      <c r="C41" s="3" t="s">
        <v>90</v>
      </c>
      <c r="D41" s="3" t="s">
        <v>15</v>
      </c>
      <c r="E41" s="3">
        <v>41</v>
      </c>
      <c r="F41" s="3" t="s">
        <v>25</v>
      </c>
      <c r="G41" s="3" t="s">
        <v>108</v>
      </c>
      <c r="H41" s="3" t="s">
        <v>169</v>
      </c>
      <c r="I41" s="3">
        <v>36386</v>
      </c>
      <c r="J41" s="3" t="s">
        <v>65</v>
      </c>
      <c r="K41" s="3" t="s">
        <v>170</v>
      </c>
      <c r="L41" s="4" t="s">
        <v>21</v>
      </c>
    </row>
    <row r="42" spans="1:12" x14ac:dyDescent="0.3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2" t="s">
        <v>36</v>
      </c>
    </row>
    <row r="43" spans="1:12" x14ac:dyDescent="0.3">
      <c r="A43" s="3" t="s">
        <v>174</v>
      </c>
      <c r="B43" s="3" t="s">
        <v>44</v>
      </c>
      <c r="C43" s="3" t="s">
        <v>95</v>
      </c>
      <c r="D43" s="3" t="s">
        <v>24</v>
      </c>
      <c r="E43" s="3">
        <v>49</v>
      </c>
      <c r="F43" s="3" t="s">
        <v>31</v>
      </c>
      <c r="G43" s="3" t="s">
        <v>108</v>
      </c>
      <c r="H43" s="3" t="s">
        <v>175</v>
      </c>
      <c r="I43" s="3">
        <v>43701</v>
      </c>
      <c r="J43" s="3" t="s">
        <v>60</v>
      </c>
      <c r="K43" s="3" t="s">
        <v>176</v>
      </c>
      <c r="L43" s="4" t="s">
        <v>21</v>
      </c>
    </row>
    <row r="44" spans="1:12" x14ac:dyDescent="0.3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2" t="s">
        <v>21</v>
      </c>
    </row>
    <row r="45" spans="1:12" x14ac:dyDescent="0.3">
      <c r="A45" s="3" t="s">
        <v>180</v>
      </c>
      <c r="B45" s="3" t="s">
        <v>13</v>
      </c>
      <c r="C45" s="3" t="s">
        <v>130</v>
      </c>
      <c r="D45" s="3" t="s">
        <v>15</v>
      </c>
      <c r="E45" s="3">
        <v>26</v>
      </c>
      <c r="F45" s="3" t="s">
        <v>16</v>
      </c>
      <c r="G45" s="3" t="s">
        <v>40</v>
      </c>
      <c r="H45" s="3" t="s">
        <v>181</v>
      </c>
      <c r="I45" s="3">
        <v>39451</v>
      </c>
      <c r="J45" s="3" t="s">
        <v>80</v>
      </c>
      <c r="K45" s="3" t="s">
        <v>182</v>
      </c>
      <c r="L45" s="4" t="s">
        <v>21</v>
      </c>
    </row>
    <row r="46" spans="1:12" x14ac:dyDescent="0.3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2" t="s">
        <v>21</v>
      </c>
    </row>
    <row r="47" spans="1:12" x14ac:dyDescent="0.3">
      <c r="A47" s="3" t="s">
        <v>186</v>
      </c>
      <c r="B47" s="3" t="s">
        <v>30</v>
      </c>
      <c r="C47" s="3" t="s">
        <v>95</v>
      </c>
      <c r="D47" s="3" t="s">
        <v>24</v>
      </c>
      <c r="E47" s="3">
        <v>26</v>
      </c>
      <c r="F47" s="3" t="s">
        <v>31</v>
      </c>
      <c r="G47" s="3" t="s">
        <v>17</v>
      </c>
      <c r="H47" s="3" t="s">
        <v>187</v>
      </c>
      <c r="I47" s="3">
        <v>38222</v>
      </c>
      <c r="J47" s="3" t="s">
        <v>65</v>
      </c>
      <c r="K47" s="3" t="s">
        <v>188</v>
      </c>
      <c r="L47" s="4" t="s">
        <v>36</v>
      </c>
    </row>
    <row r="48" spans="1:12" x14ac:dyDescent="0.3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2" t="s">
        <v>21</v>
      </c>
    </row>
    <row r="49" spans="1:12" x14ac:dyDescent="0.3">
      <c r="A49" s="3" t="s">
        <v>192</v>
      </c>
      <c r="B49" s="3" t="s">
        <v>49</v>
      </c>
      <c r="C49" s="3" t="s">
        <v>83</v>
      </c>
      <c r="D49" s="3" t="s">
        <v>24</v>
      </c>
      <c r="E49" s="3">
        <v>32</v>
      </c>
      <c r="F49" s="3" t="s">
        <v>50</v>
      </c>
      <c r="G49" s="3" t="s">
        <v>17</v>
      </c>
      <c r="H49" s="3" t="s">
        <v>193</v>
      </c>
      <c r="I49" s="3">
        <v>106013</v>
      </c>
      <c r="J49" s="3" t="s">
        <v>80</v>
      </c>
      <c r="K49" s="3" t="s">
        <v>194</v>
      </c>
      <c r="L49" s="4" t="s">
        <v>21</v>
      </c>
    </row>
    <row r="50" spans="1:12" x14ac:dyDescent="0.3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2" t="s">
        <v>21</v>
      </c>
    </row>
    <row r="51" spans="1:12" x14ac:dyDescent="0.3">
      <c r="A51" s="3" t="s">
        <v>198</v>
      </c>
      <c r="B51" s="3" t="s">
        <v>38</v>
      </c>
      <c r="C51" s="3" t="s">
        <v>95</v>
      </c>
      <c r="D51" s="3" t="s">
        <v>24</v>
      </c>
      <c r="E51" s="3">
        <v>46</v>
      </c>
      <c r="F51" s="3" t="s">
        <v>31</v>
      </c>
      <c r="G51" s="3" t="s">
        <v>40</v>
      </c>
      <c r="H51" s="3" t="s">
        <v>124</v>
      </c>
      <c r="I51" s="3">
        <v>84323</v>
      </c>
      <c r="J51" s="3" t="s">
        <v>34</v>
      </c>
      <c r="K51" s="3" t="s">
        <v>199</v>
      </c>
      <c r="L51" s="4" t="s">
        <v>21</v>
      </c>
    </row>
    <row r="52" spans="1:12" x14ac:dyDescent="0.3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2" t="s">
        <v>36</v>
      </c>
    </row>
    <row r="53" spans="1:12" x14ac:dyDescent="0.3">
      <c r="A53" s="3" t="s">
        <v>203</v>
      </c>
      <c r="B53" s="3" t="s">
        <v>38</v>
      </c>
      <c r="C53" s="3" t="s">
        <v>130</v>
      </c>
      <c r="D53" s="3" t="s">
        <v>15</v>
      </c>
      <c r="E53" s="3">
        <v>46</v>
      </c>
      <c r="F53" s="3" t="s">
        <v>39</v>
      </c>
      <c r="G53" s="3" t="s">
        <v>40</v>
      </c>
      <c r="H53" s="3" t="s">
        <v>204</v>
      </c>
      <c r="I53" s="3">
        <v>43926</v>
      </c>
      <c r="J53" s="3" t="s">
        <v>80</v>
      </c>
      <c r="K53" s="3" t="s">
        <v>205</v>
      </c>
      <c r="L53" s="4" t="s">
        <v>36</v>
      </c>
    </row>
    <row r="54" spans="1:12" x14ac:dyDescent="0.3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2" t="s">
        <v>36</v>
      </c>
    </row>
    <row r="55" spans="1:12" x14ac:dyDescent="0.3">
      <c r="A55" s="3" t="s">
        <v>209</v>
      </c>
      <c r="B55" s="3" t="s">
        <v>94</v>
      </c>
      <c r="C55" s="3" t="s">
        <v>95</v>
      </c>
      <c r="D55" s="3" t="s">
        <v>24</v>
      </c>
      <c r="E55" s="3">
        <v>58</v>
      </c>
      <c r="F55" s="3" t="s">
        <v>50</v>
      </c>
      <c r="G55" s="3" t="s">
        <v>108</v>
      </c>
      <c r="H55" s="3" t="s">
        <v>210</v>
      </c>
      <c r="I55" s="3">
        <v>109960</v>
      </c>
      <c r="J55" s="3" t="s">
        <v>65</v>
      </c>
      <c r="K55" s="3" t="s">
        <v>211</v>
      </c>
      <c r="L55" s="4" t="s">
        <v>36</v>
      </c>
    </row>
    <row r="56" spans="1:12" x14ac:dyDescent="0.3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2" t="s">
        <v>36</v>
      </c>
    </row>
    <row r="57" spans="1:12" x14ac:dyDescent="0.3">
      <c r="A57" s="3" t="s">
        <v>215</v>
      </c>
      <c r="B57" s="3" t="s">
        <v>71</v>
      </c>
      <c r="C57" s="3" t="s">
        <v>45</v>
      </c>
      <c r="D57" s="3" t="s">
        <v>24</v>
      </c>
      <c r="E57" s="3">
        <v>26</v>
      </c>
      <c r="F57" s="3" t="s">
        <v>50</v>
      </c>
      <c r="G57" s="3" t="s">
        <v>108</v>
      </c>
      <c r="H57" s="3" t="s">
        <v>216</v>
      </c>
      <c r="I57" s="3">
        <v>44078</v>
      </c>
      <c r="J57" s="3" t="s">
        <v>65</v>
      </c>
      <c r="K57" s="3" t="s">
        <v>217</v>
      </c>
      <c r="L57" s="4" t="s">
        <v>36</v>
      </c>
    </row>
    <row r="58" spans="1:12" x14ac:dyDescent="0.3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2" t="s">
        <v>36</v>
      </c>
    </row>
    <row r="59" spans="1:12" x14ac:dyDescent="0.3">
      <c r="A59" s="3" t="s">
        <v>221</v>
      </c>
      <c r="B59" s="3" t="s">
        <v>58</v>
      </c>
      <c r="C59" s="3" t="s">
        <v>78</v>
      </c>
      <c r="D59" s="3" t="s">
        <v>24</v>
      </c>
      <c r="E59" s="3">
        <v>26</v>
      </c>
      <c r="F59" s="3" t="s">
        <v>31</v>
      </c>
      <c r="G59" s="3" t="s">
        <v>26</v>
      </c>
      <c r="H59" s="3" t="s">
        <v>222</v>
      </c>
      <c r="I59" s="3">
        <v>37951</v>
      </c>
      <c r="J59" s="3" t="s">
        <v>34</v>
      </c>
      <c r="K59" s="3" t="s">
        <v>223</v>
      </c>
      <c r="L59" s="4" t="s">
        <v>36</v>
      </c>
    </row>
    <row r="60" spans="1:12" x14ac:dyDescent="0.3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2" t="s">
        <v>36</v>
      </c>
    </row>
    <row r="61" spans="1:12" x14ac:dyDescent="0.3">
      <c r="A61" s="3" t="s">
        <v>227</v>
      </c>
      <c r="B61" s="3" t="s">
        <v>38</v>
      </c>
      <c r="C61" s="3" t="s">
        <v>63</v>
      </c>
      <c r="D61" s="3" t="s">
        <v>24</v>
      </c>
      <c r="E61" s="3">
        <v>50</v>
      </c>
      <c r="F61" s="3" t="s">
        <v>50</v>
      </c>
      <c r="G61" s="3" t="s">
        <v>32</v>
      </c>
      <c r="H61" s="3" t="s">
        <v>228</v>
      </c>
      <c r="I61" s="3">
        <v>119530</v>
      </c>
      <c r="J61" s="3" t="s">
        <v>19</v>
      </c>
      <c r="K61" s="3" t="s">
        <v>229</v>
      </c>
      <c r="L61" s="4" t="s">
        <v>36</v>
      </c>
    </row>
    <row r="62" spans="1:12" x14ac:dyDescent="0.3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2" t="s">
        <v>36</v>
      </c>
    </row>
    <row r="63" spans="1:12" x14ac:dyDescent="0.3">
      <c r="A63" s="3" t="s">
        <v>233</v>
      </c>
      <c r="B63" s="3" t="s">
        <v>54</v>
      </c>
      <c r="C63" s="3" t="s">
        <v>90</v>
      </c>
      <c r="D63" s="3" t="s">
        <v>24</v>
      </c>
      <c r="E63" s="3">
        <v>33</v>
      </c>
      <c r="F63" s="3" t="s">
        <v>31</v>
      </c>
      <c r="G63" s="3" t="s">
        <v>32</v>
      </c>
      <c r="H63" s="3" t="s">
        <v>234</v>
      </c>
      <c r="I63" s="3">
        <v>76700</v>
      </c>
      <c r="J63" s="3" t="s">
        <v>60</v>
      </c>
      <c r="K63" s="3" t="s">
        <v>235</v>
      </c>
      <c r="L63" s="4" t="s">
        <v>36</v>
      </c>
    </row>
    <row r="64" spans="1:12" x14ac:dyDescent="0.3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2" t="s">
        <v>36</v>
      </c>
    </row>
    <row r="65" spans="1:12" x14ac:dyDescent="0.3">
      <c r="A65" s="3" t="s">
        <v>239</v>
      </c>
      <c r="B65" s="3" t="s">
        <v>38</v>
      </c>
      <c r="C65" s="3" t="s">
        <v>83</v>
      </c>
      <c r="D65" s="3" t="s">
        <v>15</v>
      </c>
      <c r="E65" s="3">
        <v>49</v>
      </c>
      <c r="F65" s="3" t="s">
        <v>50</v>
      </c>
      <c r="G65" s="3" t="s">
        <v>32</v>
      </c>
      <c r="H65" s="3" t="s">
        <v>240</v>
      </c>
      <c r="I65" s="3">
        <v>85454</v>
      </c>
      <c r="J65" s="3" t="s">
        <v>34</v>
      </c>
      <c r="K65" s="3" t="s">
        <v>241</v>
      </c>
      <c r="L65" s="4" t="s">
        <v>21</v>
      </c>
    </row>
    <row r="66" spans="1:12" x14ac:dyDescent="0.3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2" t="s">
        <v>36</v>
      </c>
    </row>
    <row r="67" spans="1:12" x14ac:dyDescent="0.3">
      <c r="A67" s="3" t="s">
        <v>245</v>
      </c>
      <c r="B67" s="3" t="s">
        <v>58</v>
      </c>
      <c r="C67" s="3" t="s">
        <v>165</v>
      </c>
      <c r="D67" s="3" t="s">
        <v>15</v>
      </c>
      <c r="E67" s="3">
        <v>31</v>
      </c>
      <c r="F67" s="3" t="s">
        <v>16</v>
      </c>
      <c r="G67" s="3" t="s">
        <v>40</v>
      </c>
      <c r="H67" s="3" t="s">
        <v>246</v>
      </c>
      <c r="I67" s="3">
        <v>44531</v>
      </c>
      <c r="J67" s="3" t="s">
        <v>34</v>
      </c>
      <c r="K67" s="3" t="s">
        <v>247</v>
      </c>
      <c r="L67" s="4" t="s">
        <v>21</v>
      </c>
    </row>
    <row r="68" spans="1:12" x14ac:dyDescent="0.3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2" t="s">
        <v>21</v>
      </c>
    </row>
    <row r="69" spans="1:12" x14ac:dyDescent="0.3">
      <c r="A69" s="3" t="s">
        <v>251</v>
      </c>
      <c r="B69" s="3" t="s">
        <v>44</v>
      </c>
      <c r="C69" s="3" t="s">
        <v>23</v>
      </c>
      <c r="D69" s="3" t="s">
        <v>15</v>
      </c>
      <c r="E69" s="3">
        <v>34</v>
      </c>
      <c r="F69" s="3" t="s">
        <v>16</v>
      </c>
      <c r="G69" s="3" t="s">
        <v>32</v>
      </c>
      <c r="H69" s="3" t="s">
        <v>252</v>
      </c>
      <c r="I69" s="3">
        <v>39110</v>
      </c>
      <c r="J69" s="3" t="s">
        <v>34</v>
      </c>
      <c r="K69" s="3" t="s">
        <v>253</v>
      </c>
      <c r="L69" s="4" t="s">
        <v>36</v>
      </c>
    </row>
    <row r="70" spans="1:12" x14ac:dyDescent="0.3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2" t="s">
        <v>36</v>
      </c>
    </row>
    <row r="71" spans="1:12" x14ac:dyDescent="0.3">
      <c r="A71" s="3" t="s">
        <v>257</v>
      </c>
      <c r="B71" s="3" t="s">
        <v>38</v>
      </c>
      <c r="C71" s="3" t="s">
        <v>90</v>
      </c>
      <c r="D71" s="3" t="s">
        <v>15</v>
      </c>
      <c r="E71" s="3">
        <v>27</v>
      </c>
      <c r="F71" s="3" t="s">
        <v>31</v>
      </c>
      <c r="G71" s="3" t="s">
        <v>26</v>
      </c>
      <c r="H71" s="3" t="s">
        <v>258</v>
      </c>
      <c r="I71" s="3">
        <v>118796</v>
      </c>
      <c r="J71" s="3" t="s">
        <v>60</v>
      </c>
      <c r="K71" s="3" t="s">
        <v>259</v>
      </c>
      <c r="L71" s="4" t="s">
        <v>36</v>
      </c>
    </row>
    <row r="72" spans="1:12" x14ac:dyDescent="0.3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2" t="s">
        <v>21</v>
      </c>
    </row>
    <row r="73" spans="1:12" x14ac:dyDescent="0.3">
      <c r="A73" s="3" t="s">
        <v>263</v>
      </c>
      <c r="B73" s="3" t="s">
        <v>49</v>
      </c>
      <c r="C73" s="3" t="s">
        <v>90</v>
      </c>
      <c r="D73" s="3" t="s">
        <v>15</v>
      </c>
      <c r="E73" s="3">
        <v>22</v>
      </c>
      <c r="F73" s="3" t="s">
        <v>31</v>
      </c>
      <c r="G73" s="3" t="s">
        <v>108</v>
      </c>
      <c r="H73" s="3" t="s">
        <v>264</v>
      </c>
      <c r="I73" s="3">
        <v>64891</v>
      </c>
      <c r="J73" s="3" t="s">
        <v>65</v>
      </c>
      <c r="K73" s="3" t="s">
        <v>265</v>
      </c>
      <c r="L73" s="4" t="s">
        <v>21</v>
      </c>
    </row>
    <row r="74" spans="1:12" x14ac:dyDescent="0.3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2" t="s">
        <v>21</v>
      </c>
    </row>
    <row r="75" spans="1:12" x14ac:dyDescent="0.3">
      <c r="A75" s="3" t="s">
        <v>269</v>
      </c>
      <c r="B75" s="3" t="s">
        <v>13</v>
      </c>
      <c r="C75" s="3" t="s">
        <v>130</v>
      </c>
      <c r="D75" s="3" t="s">
        <v>24</v>
      </c>
      <c r="E75" s="3">
        <v>30</v>
      </c>
      <c r="F75" s="3" t="s">
        <v>16</v>
      </c>
      <c r="G75" s="3" t="s">
        <v>17</v>
      </c>
      <c r="H75" s="3" t="s">
        <v>270</v>
      </c>
      <c r="I75" s="3">
        <v>50545</v>
      </c>
      <c r="J75" s="3" t="s">
        <v>80</v>
      </c>
      <c r="K75" s="3" t="s">
        <v>271</v>
      </c>
      <c r="L75" s="4" t="s">
        <v>21</v>
      </c>
    </row>
    <row r="76" spans="1:12" x14ac:dyDescent="0.3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2" t="s">
        <v>21</v>
      </c>
    </row>
    <row r="77" spans="1:12" x14ac:dyDescent="0.3">
      <c r="A77" s="3" t="s">
        <v>275</v>
      </c>
      <c r="B77" s="3" t="s">
        <v>54</v>
      </c>
      <c r="C77" s="3" t="s">
        <v>14</v>
      </c>
      <c r="D77" s="3" t="s">
        <v>15</v>
      </c>
      <c r="E77" s="3">
        <v>52</v>
      </c>
      <c r="F77" s="3" t="s">
        <v>50</v>
      </c>
      <c r="G77" s="3" t="s">
        <v>32</v>
      </c>
      <c r="H77" s="3" t="s">
        <v>276</v>
      </c>
      <c r="I77" s="3">
        <v>48744</v>
      </c>
      <c r="J77" s="3" t="s">
        <v>65</v>
      </c>
      <c r="K77" s="3" t="s">
        <v>277</v>
      </c>
      <c r="L77" s="4" t="s">
        <v>36</v>
      </c>
    </row>
    <row r="78" spans="1:12" x14ac:dyDescent="0.3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2" t="s">
        <v>21</v>
      </c>
    </row>
    <row r="79" spans="1:12" x14ac:dyDescent="0.3">
      <c r="A79" s="3" t="s">
        <v>281</v>
      </c>
      <c r="B79" s="3" t="s">
        <v>49</v>
      </c>
      <c r="C79" s="3" t="s">
        <v>63</v>
      </c>
      <c r="D79" s="3" t="s">
        <v>15</v>
      </c>
      <c r="E79" s="3">
        <v>53</v>
      </c>
      <c r="F79" s="3" t="s">
        <v>50</v>
      </c>
      <c r="G79" s="3" t="s">
        <v>17</v>
      </c>
      <c r="H79" s="3" t="s">
        <v>282</v>
      </c>
      <c r="I79" s="3">
        <v>73437</v>
      </c>
      <c r="J79" s="3" t="s">
        <v>65</v>
      </c>
      <c r="K79" s="3" t="s">
        <v>283</v>
      </c>
      <c r="L79" s="4" t="s">
        <v>36</v>
      </c>
    </row>
    <row r="80" spans="1:12" x14ac:dyDescent="0.3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2" t="s">
        <v>21</v>
      </c>
    </row>
    <row r="81" spans="1:12" x14ac:dyDescent="0.3">
      <c r="A81" s="3" t="s">
        <v>287</v>
      </c>
      <c r="B81" s="3" t="s">
        <v>71</v>
      </c>
      <c r="C81" s="3" t="s">
        <v>14</v>
      </c>
      <c r="D81" s="3" t="s">
        <v>15</v>
      </c>
      <c r="E81" s="3">
        <v>48</v>
      </c>
      <c r="F81" s="3" t="s">
        <v>31</v>
      </c>
      <c r="G81" s="3" t="s">
        <v>17</v>
      </c>
      <c r="H81" s="3" t="s">
        <v>288</v>
      </c>
      <c r="I81" s="3">
        <v>53034</v>
      </c>
      <c r="J81" s="3" t="s">
        <v>65</v>
      </c>
      <c r="K81" s="3" t="s">
        <v>289</v>
      </c>
      <c r="L81" s="4" t="s">
        <v>21</v>
      </c>
    </row>
    <row r="82" spans="1:12" x14ac:dyDescent="0.3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2" t="s">
        <v>36</v>
      </c>
    </row>
    <row r="83" spans="1:12" x14ac:dyDescent="0.3">
      <c r="A83" s="3" t="s">
        <v>293</v>
      </c>
      <c r="B83" s="3" t="s">
        <v>38</v>
      </c>
      <c r="C83" s="3" t="s">
        <v>78</v>
      </c>
      <c r="D83" s="3" t="s">
        <v>15</v>
      </c>
      <c r="E83" s="3">
        <v>51</v>
      </c>
      <c r="F83" s="3" t="s">
        <v>25</v>
      </c>
      <c r="G83" s="3" t="s">
        <v>32</v>
      </c>
      <c r="H83" s="3" t="s">
        <v>294</v>
      </c>
      <c r="I83" s="3">
        <v>107488</v>
      </c>
      <c r="J83" s="3" t="s">
        <v>34</v>
      </c>
      <c r="K83" s="3" t="s">
        <v>295</v>
      </c>
      <c r="L83" s="4" t="s">
        <v>36</v>
      </c>
    </row>
    <row r="84" spans="1:12" x14ac:dyDescent="0.3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2" t="s">
        <v>36</v>
      </c>
    </row>
    <row r="85" spans="1:12" x14ac:dyDescent="0.3">
      <c r="A85" s="3" t="s">
        <v>299</v>
      </c>
      <c r="B85" s="3" t="s">
        <v>94</v>
      </c>
      <c r="C85" s="3" t="s">
        <v>130</v>
      </c>
      <c r="D85" s="3" t="s">
        <v>24</v>
      </c>
      <c r="E85" s="3">
        <v>47</v>
      </c>
      <c r="F85" s="3" t="s">
        <v>16</v>
      </c>
      <c r="G85" s="3" t="s">
        <v>32</v>
      </c>
      <c r="H85" s="3" t="s">
        <v>300</v>
      </c>
      <c r="I85" s="3">
        <v>99891</v>
      </c>
      <c r="J85" s="3" t="s">
        <v>34</v>
      </c>
      <c r="K85" s="3" t="s">
        <v>301</v>
      </c>
      <c r="L85" s="4" t="s">
        <v>36</v>
      </c>
    </row>
    <row r="86" spans="1:12" x14ac:dyDescent="0.3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2" t="s">
        <v>36</v>
      </c>
    </row>
    <row r="87" spans="1:12" x14ac:dyDescent="0.3">
      <c r="A87" s="3" t="s">
        <v>305</v>
      </c>
      <c r="B87" s="3" t="s">
        <v>58</v>
      </c>
      <c r="C87" s="3" t="s">
        <v>78</v>
      </c>
      <c r="D87" s="3" t="s">
        <v>24</v>
      </c>
      <c r="E87" s="3">
        <v>26</v>
      </c>
      <c r="F87" s="3" t="s">
        <v>39</v>
      </c>
      <c r="G87" s="3" t="s">
        <v>40</v>
      </c>
      <c r="H87" s="3" t="s">
        <v>144</v>
      </c>
      <c r="I87" s="3">
        <v>57248</v>
      </c>
      <c r="J87" s="3" t="s">
        <v>19</v>
      </c>
      <c r="K87" s="3" t="s">
        <v>306</v>
      </c>
      <c r="L87" s="4" t="s">
        <v>21</v>
      </c>
    </row>
    <row r="88" spans="1:12" x14ac:dyDescent="0.3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2" t="s">
        <v>36</v>
      </c>
    </row>
    <row r="89" spans="1:12" x14ac:dyDescent="0.3">
      <c r="A89" s="3" t="s">
        <v>310</v>
      </c>
      <c r="B89" s="3" t="s">
        <v>49</v>
      </c>
      <c r="C89" s="3" t="s">
        <v>45</v>
      </c>
      <c r="D89" s="3" t="s">
        <v>15</v>
      </c>
      <c r="E89" s="3">
        <v>44</v>
      </c>
      <c r="F89" s="3" t="s">
        <v>39</v>
      </c>
      <c r="G89" s="3" t="s">
        <v>17</v>
      </c>
      <c r="H89" s="3" t="s">
        <v>311</v>
      </c>
      <c r="I89" s="3">
        <v>104211</v>
      </c>
      <c r="J89" s="3" t="s">
        <v>65</v>
      </c>
      <c r="K89" s="3" t="s">
        <v>312</v>
      </c>
      <c r="L89" s="4" t="s">
        <v>36</v>
      </c>
    </row>
    <row r="90" spans="1:12" x14ac:dyDescent="0.3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2" t="s">
        <v>36</v>
      </c>
    </row>
    <row r="91" spans="1:12" x14ac:dyDescent="0.3">
      <c r="A91" s="3" t="s">
        <v>316</v>
      </c>
      <c r="B91" s="3" t="s">
        <v>30</v>
      </c>
      <c r="C91" s="3" t="s">
        <v>90</v>
      </c>
      <c r="D91" s="3" t="s">
        <v>15</v>
      </c>
      <c r="E91" s="3">
        <v>54</v>
      </c>
      <c r="F91" s="3" t="s">
        <v>25</v>
      </c>
      <c r="G91" s="3" t="s">
        <v>32</v>
      </c>
      <c r="H91" s="3" t="s">
        <v>317</v>
      </c>
      <c r="I91" s="3">
        <v>105392</v>
      </c>
      <c r="J91" s="3" t="s">
        <v>80</v>
      </c>
      <c r="K91" s="3" t="s">
        <v>318</v>
      </c>
      <c r="L91" s="4" t="s">
        <v>21</v>
      </c>
    </row>
    <row r="92" spans="1:12" x14ac:dyDescent="0.3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2" t="s">
        <v>21</v>
      </c>
    </row>
    <row r="93" spans="1:12" x14ac:dyDescent="0.3">
      <c r="A93" s="3" t="s">
        <v>322</v>
      </c>
      <c r="B93" s="3" t="s">
        <v>71</v>
      </c>
      <c r="C93" s="3" t="s">
        <v>90</v>
      </c>
      <c r="D93" s="3" t="s">
        <v>15</v>
      </c>
      <c r="E93" s="3">
        <v>35</v>
      </c>
      <c r="F93" s="3" t="s">
        <v>25</v>
      </c>
      <c r="G93" s="3" t="s">
        <v>17</v>
      </c>
      <c r="H93" s="3" t="s">
        <v>323</v>
      </c>
      <c r="I93" s="3">
        <v>119403</v>
      </c>
      <c r="J93" s="3" t="s">
        <v>60</v>
      </c>
      <c r="K93" s="3" t="s">
        <v>324</v>
      </c>
      <c r="L93" s="4" t="s">
        <v>36</v>
      </c>
    </row>
    <row r="94" spans="1:12" x14ac:dyDescent="0.3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2" t="s">
        <v>36</v>
      </c>
    </row>
    <row r="95" spans="1:12" x14ac:dyDescent="0.3">
      <c r="A95" s="3" t="s">
        <v>328</v>
      </c>
      <c r="B95" s="3" t="s">
        <v>49</v>
      </c>
      <c r="C95" s="3" t="s">
        <v>78</v>
      </c>
      <c r="D95" s="3" t="s">
        <v>15</v>
      </c>
      <c r="E95" s="3">
        <v>44</v>
      </c>
      <c r="F95" s="3" t="s">
        <v>16</v>
      </c>
      <c r="G95" s="3" t="s">
        <v>32</v>
      </c>
      <c r="H95" s="3" t="s">
        <v>329</v>
      </c>
      <c r="I95" s="3">
        <v>83855</v>
      </c>
      <c r="J95" s="3" t="s">
        <v>34</v>
      </c>
      <c r="K95" s="3" t="s">
        <v>330</v>
      </c>
      <c r="L95" s="4" t="s">
        <v>36</v>
      </c>
    </row>
    <row r="96" spans="1:12" x14ac:dyDescent="0.3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2" t="s">
        <v>21</v>
      </c>
    </row>
    <row r="97" spans="1:12" x14ac:dyDescent="0.3">
      <c r="A97" s="3" t="s">
        <v>334</v>
      </c>
      <c r="B97" s="3" t="s">
        <v>54</v>
      </c>
      <c r="C97" s="3" t="s">
        <v>45</v>
      </c>
      <c r="D97" s="3" t="s">
        <v>15</v>
      </c>
      <c r="E97" s="3">
        <v>24</v>
      </c>
      <c r="F97" s="3" t="s">
        <v>31</v>
      </c>
      <c r="G97" s="3" t="s">
        <v>40</v>
      </c>
      <c r="H97" s="3" t="s">
        <v>335</v>
      </c>
      <c r="I97" s="3">
        <v>104506</v>
      </c>
      <c r="J97" s="3" t="s">
        <v>65</v>
      </c>
      <c r="K97" s="3" t="s">
        <v>336</v>
      </c>
      <c r="L97" s="4" t="s">
        <v>21</v>
      </c>
    </row>
    <row r="98" spans="1:12" x14ac:dyDescent="0.3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2" t="s">
        <v>36</v>
      </c>
    </row>
    <row r="99" spans="1:12" x14ac:dyDescent="0.3">
      <c r="A99" s="3" t="s">
        <v>340</v>
      </c>
      <c r="B99" s="3" t="s">
        <v>13</v>
      </c>
      <c r="C99" s="3" t="s">
        <v>90</v>
      </c>
      <c r="D99" s="3" t="s">
        <v>24</v>
      </c>
      <c r="E99" s="3">
        <v>25</v>
      </c>
      <c r="F99" s="3" t="s">
        <v>39</v>
      </c>
      <c r="G99" s="3" t="s">
        <v>40</v>
      </c>
      <c r="H99" s="3" t="s">
        <v>341</v>
      </c>
      <c r="I99" s="3">
        <v>50051</v>
      </c>
      <c r="J99" s="3" t="s">
        <v>19</v>
      </c>
      <c r="K99" s="3" t="s">
        <v>342</v>
      </c>
      <c r="L99" s="4" t="s">
        <v>21</v>
      </c>
    </row>
    <row r="100" spans="1:12" x14ac:dyDescent="0.3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2" t="s">
        <v>36</v>
      </c>
    </row>
    <row r="101" spans="1:12" x14ac:dyDescent="0.3">
      <c r="A101" s="3" t="s">
        <v>346</v>
      </c>
      <c r="B101" s="3" t="s">
        <v>38</v>
      </c>
      <c r="C101" s="3" t="s">
        <v>23</v>
      </c>
      <c r="D101" s="3" t="s">
        <v>24</v>
      </c>
      <c r="E101" s="3">
        <v>60</v>
      </c>
      <c r="F101" s="3" t="s">
        <v>50</v>
      </c>
      <c r="G101" s="3" t="s">
        <v>17</v>
      </c>
      <c r="H101" s="3" t="s">
        <v>347</v>
      </c>
      <c r="I101" s="3">
        <v>60616</v>
      </c>
      <c r="J101" s="3" t="s">
        <v>80</v>
      </c>
      <c r="K101" s="3" t="s">
        <v>348</v>
      </c>
      <c r="L101" s="4" t="s">
        <v>36</v>
      </c>
    </row>
    <row r="102" spans="1:12" x14ac:dyDescent="0.3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2" t="s">
        <v>36</v>
      </c>
    </row>
    <row r="103" spans="1:12" x14ac:dyDescent="0.3">
      <c r="A103" s="3" t="s">
        <v>352</v>
      </c>
      <c r="B103" s="3" t="s">
        <v>71</v>
      </c>
      <c r="C103" s="3" t="s">
        <v>83</v>
      </c>
      <c r="D103" s="3" t="s">
        <v>24</v>
      </c>
      <c r="E103" s="3">
        <v>43</v>
      </c>
      <c r="F103" s="3" t="s">
        <v>50</v>
      </c>
      <c r="G103" s="3" t="s">
        <v>108</v>
      </c>
      <c r="H103" s="3" t="s">
        <v>353</v>
      </c>
      <c r="I103" s="3">
        <v>106165</v>
      </c>
      <c r="J103" s="3" t="s">
        <v>80</v>
      </c>
      <c r="K103" s="3" t="s">
        <v>354</v>
      </c>
      <c r="L103" s="4" t="s">
        <v>36</v>
      </c>
    </row>
    <row r="104" spans="1:12" x14ac:dyDescent="0.3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2" t="s">
        <v>36</v>
      </c>
    </row>
    <row r="105" spans="1:12" x14ac:dyDescent="0.3">
      <c r="A105" s="3" t="s">
        <v>358</v>
      </c>
      <c r="B105" s="3" t="s">
        <v>30</v>
      </c>
      <c r="C105" s="3" t="s">
        <v>90</v>
      </c>
      <c r="D105" s="3" t="s">
        <v>15</v>
      </c>
      <c r="E105" s="3">
        <v>32</v>
      </c>
      <c r="F105" s="3" t="s">
        <v>16</v>
      </c>
      <c r="G105" s="3" t="s">
        <v>26</v>
      </c>
      <c r="H105" s="3" t="s">
        <v>359</v>
      </c>
      <c r="I105" s="3">
        <v>64572</v>
      </c>
      <c r="J105" s="3" t="s">
        <v>80</v>
      </c>
      <c r="K105" s="3" t="s">
        <v>360</v>
      </c>
      <c r="L105" s="4" t="s">
        <v>21</v>
      </c>
    </row>
    <row r="106" spans="1:12" x14ac:dyDescent="0.3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2" t="s">
        <v>21</v>
      </c>
    </row>
    <row r="107" spans="1:12" x14ac:dyDescent="0.3">
      <c r="A107" s="3" t="s">
        <v>364</v>
      </c>
      <c r="B107" s="3" t="s">
        <v>143</v>
      </c>
      <c r="C107" s="3" t="s">
        <v>45</v>
      </c>
      <c r="D107" s="3" t="s">
        <v>24</v>
      </c>
      <c r="E107" s="3">
        <v>27</v>
      </c>
      <c r="F107" s="3" t="s">
        <v>50</v>
      </c>
      <c r="G107" s="3" t="s">
        <v>17</v>
      </c>
      <c r="H107" s="3" t="s">
        <v>365</v>
      </c>
      <c r="I107" s="3">
        <v>52495</v>
      </c>
      <c r="J107" s="3" t="s">
        <v>65</v>
      </c>
      <c r="K107" s="3" t="s">
        <v>366</v>
      </c>
      <c r="L107" s="4" t="s">
        <v>21</v>
      </c>
    </row>
    <row r="108" spans="1:12" x14ac:dyDescent="0.3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2" t="s">
        <v>36</v>
      </c>
    </row>
    <row r="109" spans="1:12" x14ac:dyDescent="0.3">
      <c r="A109" s="3" t="s">
        <v>370</v>
      </c>
      <c r="B109" s="3" t="s">
        <v>143</v>
      </c>
      <c r="C109" s="3" t="s">
        <v>83</v>
      </c>
      <c r="D109" s="3" t="s">
        <v>15</v>
      </c>
      <c r="E109" s="3">
        <v>58</v>
      </c>
      <c r="F109" s="3" t="s">
        <v>39</v>
      </c>
      <c r="G109" s="3" t="s">
        <v>40</v>
      </c>
      <c r="H109" s="3" t="s">
        <v>371</v>
      </c>
      <c r="I109" s="3">
        <v>51096</v>
      </c>
      <c r="J109" s="3" t="s">
        <v>19</v>
      </c>
      <c r="K109" s="3" t="s">
        <v>372</v>
      </c>
      <c r="L109" s="4" t="s">
        <v>36</v>
      </c>
    </row>
    <row r="110" spans="1:12" x14ac:dyDescent="0.3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2" t="s">
        <v>21</v>
      </c>
    </row>
    <row r="111" spans="1:12" x14ac:dyDescent="0.3">
      <c r="A111" s="3" t="s">
        <v>376</v>
      </c>
      <c r="B111" s="3" t="s">
        <v>143</v>
      </c>
      <c r="C111" s="3" t="s">
        <v>130</v>
      </c>
      <c r="D111" s="3" t="s">
        <v>24</v>
      </c>
      <c r="E111" s="3">
        <v>39</v>
      </c>
      <c r="F111" s="3" t="s">
        <v>31</v>
      </c>
      <c r="G111" s="3" t="s">
        <v>17</v>
      </c>
      <c r="H111" s="3" t="s">
        <v>377</v>
      </c>
      <c r="I111" s="3">
        <v>67338</v>
      </c>
      <c r="J111" s="3" t="s">
        <v>34</v>
      </c>
      <c r="K111" s="3" t="s">
        <v>378</v>
      </c>
      <c r="L111" s="4" t="s">
        <v>36</v>
      </c>
    </row>
    <row r="112" spans="1:12" x14ac:dyDescent="0.3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2" t="s">
        <v>36</v>
      </c>
    </row>
    <row r="113" spans="1:12" x14ac:dyDescent="0.3">
      <c r="A113" s="3" t="s">
        <v>382</v>
      </c>
      <c r="B113" s="3" t="s">
        <v>13</v>
      </c>
      <c r="C113" s="3" t="s">
        <v>78</v>
      </c>
      <c r="D113" s="3" t="s">
        <v>24</v>
      </c>
      <c r="E113" s="3">
        <v>45</v>
      </c>
      <c r="F113" s="3" t="s">
        <v>16</v>
      </c>
      <c r="G113" s="3" t="s">
        <v>17</v>
      </c>
      <c r="H113" s="3" t="s">
        <v>383</v>
      </c>
      <c r="I113" s="3">
        <v>62840</v>
      </c>
      <c r="J113" s="3" t="s">
        <v>60</v>
      </c>
      <c r="K113" s="3" t="s">
        <v>384</v>
      </c>
      <c r="L113" s="4" t="s">
        <v>36</v>
      </c>
    </row>
    <row r="114" spans="1:12" x14ac:dyDescent="0.3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2" t="s">
        <v>36</v>
      </c>
    </row>
    <row r="115" spans="1:12" x14ac:dyDescent="0.3">
      <c r="A115" s="3" t="s">
        <v>388</v>
      </c>
      <c r="B115" s="3" t="s">
        <v>38</v>
      </c>
      <c r="C115" s="3" t="s">
        <v>95</v>
      </c>
      <c r="D115" s="3" t="s">
        <v>15</v>
      </c>
      <c r="E115" s="3">
        <v>23</v>
      </c>
      <c r="F115" s="3" t="s">
        <v>31</v>
      </c>
      <c r="G115" s="3" t="s">
        <v>17</v>
      </c>
      <c r="H115" s="3" t="s">
        <v>389</v>
      </c>
      <c r="I115" s="3">
        <v>109099</v>
      </c>
      <c r="J115" s="3" t="s">
        <v>80</v>
      </c>
      <c r="K115" s="3" t="s">
        <v>390</v>
      </c>
      <c r="L115" s="4" t="s">
        <v>21</v>
      </c>
    </row>
    <row r="116" spans="1:12" x14ac:dyDescent="0.3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2" t="s">
        <v>36</v>
      </c>
    </row>
    <row r="117" spans="1:12" x14ac:dyDescent="0.3">
      <c r="A117" s="3" t="s">
        <v>394</v>
      </c>
      <c r="B117" s="3" t="s">
        <v>30</v>
      </c>
      <c r="C117" s="3" t="s">
        <v>130</v>
      </c>
      <c r="D117" s="3" t="s">
        <v>24</v>
      </c>
      <c r="E117" s="3">
        <v>58</v>
      </c>
      <c r="F117" s="3" t="s">
        <v>39</v>
      </c>
      <c r="G117" s="3" t="s">
        <v>32</v>
      </c>
      <c r="H117" s="3" t="s">
        <v>395</v>
      </c>
      <c r="I117" s="3">
        <v>111621</v>
      </c>
      <c r="J117" s="3" t="s">
        <v>60</v>
      </c>
      <c r="K117" s="3" t="s">
        <v>396</v>
      </c>
      <c r="L117" s="4" t="s">
        <v>21</v>
      </c>
    </row>
    <row r="118" spans="1:12" x14ac:dyDescent="0.3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2" t="s">
        <v>21</v>
      </c>
    </row>
    <row r="119" spans="1:12" x14ac:dyDescent="0.3">
      <c r="A119" s="3" t="s">
        <v>399</v>
      </c>
      <c r="B119" s="3" t="s">
        <v>143</v>
      </c>
      <c r="C119" s="3" t="s">
        <v>78</v>
      </c>
      <c r="D119" s="3" t="s">
        <v>24</v>
      </c>
      <c r="E119" s="3">
        <v>24</v>
      </c>
      <c r="F119" s="3" t="s">
        <v>31</v>
      </c>
      <c r="G119" s="3" t="s">
        <v>17</v>
      </c>
      <c r="H119" s="3" t="s">
        <v>400</v>
      </c>
      <c r="I119" s="3">
        <v>99200</v>
      </c>
      <c r="J119" s="3" t="s">
        <v>19</v>
      </c>
      <c r="K119" s="3" t="s">
        <v>401</v>
      </c>
      <c r="L119" s="4" t="s">
        <v>36</v>
      </c>
    </row>
    <row r="120" spans="1:12" x14ac:dyDescent="0.3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2" t="s">
        <v>36</v>
      </c>
    </row>
    <row r="121" spans="1:12" x14ac:dyDescent="0.3">
      <c r="A121" s="3" t="s">
        <v>405</v>
      </c>
      <c r="B121" s="3" t="s">
        <v>44</v>
      </c>
      <c r="C121" s="3" t="s">
        <v>165</v>
      </c>
      <c r="D121" s="3" t="s">
        <v>15</v>
      </c>
      <c r="E121" s="3">
        <v>32</v>
      </c>
      <c r="F121" s="3" t="s">
        <v>50</v>
      </c>
      <c r="G121" s="3" t="s">
        <v>40</v>
      </c>
      <c r="H121" s="3" t="s">
        <v>406</v>
      </c>
      <c r="I121" s="3">
        <v>112759</v>
      </c>
      <c r="J121" s="3" t="s">
        <v>80</v>
      </c>
      <c r="K121" s="3" t="s">
        <v>407</v>
      </c>
      <c r="L121" s="4" t="s">
        <v>36</v>
      </c>
    </row>
    <row r="122" spans="1:12" x14ac:dyDescent="0.3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2" t="s">
        <v>21</v>
      </c>
    </row>
    <row r="123" spans="1:12" x14ac:dyDescent="0.3">
      <c r="A123" s="3" t="s">
        <v>411</v>
      </c>
      <c r="B123" s="3" t="s">
        <v>44</v>
      </c>
      <c r="C123" s="3" t="s">
        <v>63</v>
      </c>
      <c r="D123" s="3" t="s">
        <v>15</v>
      </c>
      <c r="E123" s="3">
        <v>42</v>
      </c>
      <c r="F123" s="3" t="s">
        <v>16</v>
      </c>
      <c r="G123" s="3" t="s">
        <v>26</v>
      </c>
      <c r="H123" s="3" t="s">
        <v>412</v>
      </c>
      <c r="I123" s="3">
        <v>52630</v>
      </c>
      <c r="J123" s="3" t="s">
        <v>60</v>
      </c>
      <c r="K123" s="3" t="s">
        <v>413</v>
      </c>
      <c r="L123" s="4" t="s">
        <v>21</v>
      </c>
    </row>
    <row r="124" spans="1:12" x14ac:dyDescent="0.3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2" t="s">
        <v>21</v>
      </c>
    </row>
    <row r="125" spans="1:12" x14ac:dyDescent="0.3">
      <c r="A125" s="3" t="s">
        <v>417</v>
      </c>
      <c r="B125" s="3" t="s">
        <v>44</v>
      </c>
      <c r="C125" s="3" t="s">
        <v>78</v>
      </c>
      <c r="D125" s="3" t="s">
        <v>15</v>
      </c>
      <c r="E125" s="3">
        <v>41</v>
      </c>
      <c r="F125" s="3" t="s">
        <v>25</v>
      </c>
      <c r="G125" s="3" t="s">
        <v>32</v>
      </c>
      <c r="H125" s="3" t="s">
        <v>418</v>
      </c>
      <c r="I125" s="3">
        <v>77100</v>
      </c>
      <c r="J125" s="3" t="s">
        <v>19</v>
      </c>
      <c r="K125" s="3" t="s">
        <v>419</v>
      </c>
      <c r="L125" s="4" t="s">
        <v>21</v>
      </c>
    </row>
    <row r="126" spans="1:12" x14ac:dyDescent="0.3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2" t="s">
        <v>36</v>
      </c>
    </row>
    <row r="127" spans="1:12" x14ac:dyDescent="0.3">
      <c r="A127" s="3" t="s">
        <v>423</v>
      </c>
      <c r="B127" s="3" t="s">
        <v>54</v>
      </c>
      <c r="C127" s="3" t="s">
        <v>165</v>
      </c>
      <c r="D127" s="3" t="s">
        <v>24</v>
      </c>
      <c r="E127" s="3">
        <v>46</v>
      </c>
      <c r="F127" s="3" t="s">
        <v>50</v>
      </c>
      <c r="G127" s="3" t="s">
        <v>26</v>
      </c>
      <c r="H127" s="3" t="s">
        <v>424</v>
      </c>
      <c r="I127" s="3">
        <v>69026</v>
      </c>
      <c r="J127" s="3" t="s">
        <v>34</v>
      </c>
      <c r="K127" s="3" t="s">
        <v>425</v>
      </c>
      <c r="L127" s="4" t="s">
        <v>21</v>
      </c>
    </row>
    <row r="128" spans="1:12" x14ac:dyDescent="0.3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2" t="s">
        <v>21</v>
      </c>
    </row>
    <row r="129" spans="1:12" x14ac:dyDescent="0.3">
      <c r="A129" s="3" t="s">
        <v>429</v>
      </c>
      <c r="B129" s="3" t="s">
        <v>71</v>
      </c>
      <c r="C129" s="3" t="s">
        <v>130</v>
      </c>
      <c r="D129" s="3" t="s">
        <v>24</v>
      </c>
      <c r="E129" s="3">
        <v>26</v>
      </c>
      <c r="F129" s="3" t="s">
        <v>25</v>
      </c>
      <c r="G129" s="3" t="s">
        <v>32</v>
      </c>
      <c r="H129" s="3" t="s">
        <v>430</v>
      </c>
      <c r="I129" s="3">
        <v>71436</v>
      </c>
      <c r="J129" s="3" t="s">
        <v>34</v>
      </c>
      <c r="K129" s="3" t="s">
        <v>431</v>
      </c>
      <c r="L129" s="4" t="s">
        <v>36</v>
      </c>
    </row>
    <row r="130" spans="1:12" x14ac:dyDescent="0.3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2" t="s">
        <v>21</v>
      </c>
    </row>
    <row r="131" spans="1:12" x14ac:dyDescent="0.3">
      <c r="A131" s="3" t="s">
        <v>435</v>
      </c>
      <c r="B131" s="3" t="s">
        <v>54</v>
      </c>
      <c r="C131" s="3" t="s">
        <v>63</v>
      </c>
      <c r="D131" s="3" t="s">
        <v>24</v>
      </c>
      <c r="E131" s="3">
        <v>59</v>
      </c>
      <c r="F131" s="3" t="s">
        <v>16</v>
      </c>
      <c r="G131" s="3" t="s">
        <v>108</v>
      </c>
      <c r="H131" s="3" t="s">
        <v>436</v>
      </c>
      <c r="I131" s="3">
        <v>119530</v>
      </c>
      <c r="J131" s="3" t="s">
        <v>80</v>
      </c>
      <c r="K131" s="3" t="s">
        <v>437</v>
      </c>
      <c r="L131" s="4" t="s">
        <v>21</v>
      </c>
    </row>
    <row r="132" spans="1:12" x14ac:dyDescent="0.3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2" t="s">
        <v>21</v>
      </c>
    </row>
    <row r="133" spans="1:12" x14ac:dyDescent="0.3">
      <c r="A133" s="3" t="s">
        <v>441</v>
      </c>
      <c r="B133" s="3" t="s">
        <v>44</v>
      </c>
      <c r="C133" s="3" t="s">
        <v>45</v>
      </c>
      <c r="D133" s="3" t="s">
        <v>24</v>
      </c>
      <c r="E133" s="3">
        <v>60</v>
      </c>
      <c r="F133" s="3" t="s">
        <v>31</v>
      </c>
      <c r="G133" s="3" t="s">
        <v>108</v>
      </c>
      <c r="H133" s="3" t="s">
        <v>442</v>
      </c>
      <c r="I133" s="3">
        <v>40317</v>
      </c>
      <c r="J133" s="3" t="s">
        <v>80</v>
      </c>
      <c r="K133" s="3" t="s">
        <v>443</v>
      </c>
      <c r="L133" s="4" t="s">
        <v>21</v>
      </c>
    </row>
    <row r="134" spans="1:12" x14ac:dyDescent="0.3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2" t="s">
        <v>21</v>
      </c>
    </row>
    <row r="135" spans="1:12" x14ac:dyDescent="0.3">
      <c r="A135" s="3" t="s">
        <v>447</v>
      </c>
      <c r="B135" s="3" t="s">
        <v>143</v>
      </c>
      <c r="C135" s="3" t="s">
        <v>14</v>
      </c>
      <c r="D135" s="3" t="s">
        <v>15</v>
      </c>
      <c r="E135" s="3">
        <v>49</v>
      </c>
      <c r="F135" s="3" t="s">
        <v>31</v>
      </c>
      <c r="G135" s="3" t="s">
        <v>108</v>
      </c>
      <c r="H135" s="3" t="s">
        <v>448</v>
      </c>
      <c r="I135" s="3">
        <v>102279</v>
      </c>
      <c r="J135" s="3" t="s">
        <v>60</v>
      </c>
      <c r="K135" s="3" t="s">
        <v>449</v>
      </c>
      <c r="L135" s="4" t="s">
        <v>36</v>
      </c>
    </row>
    <row r="136" spans="1:12" x14ac:dyDescent="0.3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2" t="s">
        <v>36</v>
      </c>
    </row>
    <row r="137" spans="1:12" x14ac:dyDescent="0.3">
      <c r="A137" s="3" t="s">
        <v>453</v>
      </c>
      <c r="B137" s="3" t="s">
        <v>38</v>
      </c>
      <c r="C137" s="3" t="s">
        <v>14</v>
      </c>
      <c r="D137" s="3" t="s">
        <v>15</v>
      </c>
      <c r="E137" s="3">
        <v>43</v>
      </c>
      <c r="F137" s="3" t="s">
        <v>16</v>
      </c>
      <c r="G137" s="3" t="s">
        <v>26</v>
      </c>
      <c r="H137" s="3" t="s">
        <v>454</v>
      </c>
      <c r="I137" s="3">
        <v>92793</v>
      </c>
      <c r="J137" s="3" t="s">
        <v>60</v>
      </c>
      <c r="K137" s="3" t="s">
        <v>455</v>
      </c>
      <c r="L137" s="4" t="s">
        <v>21</v>
      </c>
    </row>
    <row r="138" spans="1:12" x14ac:dyDescent="0.3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2" t="s">
        <v>21</v>
      </c>
    </row>
    <row r="139" spans="1:12" x14ac:dyDescent="0.3">
      <c r="A139" s="3" t="s">
        <v>459</v>
      </c>
      <c r="B139" s="3" t="s">
        <v>38</v>
      </c>
      <c r="C139" s="3" t="s">
        <v>45</v>
      </c>
      <c r="D139" s="3" t="s">
        <v>24</v>
      </c>
      <c r="E139" s="3">
        <v>59</v>
      </c>
      <c r="F139" s="3" t="s">
        <v>39</v>
      </c>
      <c r="G139" s="3" t="s">
        <v>17</v>
      </c>
      <c r="H139" s="3" t="s">
        <v>460</v>
      </c>
      <c r="I139" s="3">
        <v>60835</v>
      </c>
      <c r="J139" s="3" t="s">
        <v>60</v>
      </c>
      <c r="K139" s="3" t="s">
        <v>461</v>
      </c>
      <c r="L139" s="4" t="s">
        <v>21</v>
      </c>
    </row>
    <row r="140" spans="1:12" x14ac:dyDescent="0.3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2" t="s">
        <v>21</v>
      </c>
    </row>
    <row r="141" spans="1:12" x14ac:dyDescent="0.3">
      <c r="A141" s="3" t="s">
        <v>465</v>
      </c>
      <c r="B141" s="3" t="s">
        <v>94</v>
      </c>
      <c r="C141" s="3" t="s">
        <v>165</v>
      </c>
      <c r="D141" s="3" t="s">
        <v>15</v>
      </c>
      <c r="E141" s="3">
        <v>48</v>
      </c>
      <c r="F141" s="3" t="s">
        <v>31</v>
      </c>
      <c r="G141" s="3" t="s">
        <v>40</v>
      </c>
      <c r="H141" s="3" t="s">
        <v>466</v>
      </c>
      <c r="I141" s="3">
        <v>109704</v>
      </c>
      <c r="J141" s="3" t="s">
        <v>80</v>
      </c>
      <c r="K141" s="3" t="s">
        <v>467</v>
      </c>
      <c r="L141" s="4" t="s">
        <v>36</v>
      </c>
    </row>
    <row r="142" spans="1:12" x14ac:dyDescent="0.3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2" t="s">
        <v>21</v>
      </c>
    </row>
    <row r="143" spans="1:12" x14ac:dyDescent="0.3">
      <c r="A143" s="3" t="s">
        <v>471</v>
      </c>
      <c r="B143" s="3" t="s">
        <v>38</v>
      </c>
      <c r="C143" s="3" t="s">
        <v>78</v>
      </c>
      <c r="D143" s="3" t="s">
        <v>15</v>
      </c>
      <c r="E143" s="3">
        <v>47</v>
      </c>
      <c r="F143" s="3" t="s">
        <v>31</v>
      </c>
      <c r="G143" s="3" t="s">
        <v>17</v>
      </c>
      <c r="H143" s="3" t="s">
        <v>472</v>
      </c>
      <c r="I143" s="3">
        <v>96812</v>
      </c>
      <c r="J143" s="3" t="s">
        <v>80</v>
      </c>
      <c r="K143" s="3" t="s">
        <v>473</v>
      </c>
      <c r="L143" s="4" t="s">
        <v>21</v>
      </c>
    </row>
    <row r="144" spans="1:12" x14ac:dyDescent="0.3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2" t="s">
        <v>36</v>
      </c>
    </row>
    <row r="145" spans="1:12" x14ac:dyDescent="0.3">
      <c r="A145" s="3" t="s">
        <v>477</v>
      </c>
      <c r="B145" s="3" t="s">
        <v>71</v>
      </c>
      <c r="C145" s="3" t="s">
        <v>83</v>
      </c>
      <c r="D145" s="3" t="s">
        <v>24</v>
      </c>
      <c r="E145" s="3">
        <v>28</v>
      </c>
      <c r="F145" s="3" t="s">
        <v>39</v>
      </c>
      <c r="G145" s="3" t="s">
        <v>26</v>
      </c>
      <c r="H145" s="3" t="s">
        <v>478</v>
      </c>
      <c r="I145" s="3">
        <v>86592</v>
      </c>
      <c r="J145" s="3" t="s">
        <v>80</v>
      </c>
      <c r="K145" s="3" t="s">
        <v>479</v>
      </c>
      <c r="L145" s="4" t="s">
        <v>36</v>
      </c>
    </row>
    <row r="146" spans="1:12" x14ac:dyDescent="0.3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2" t="s">
        <v>21</v>
      </c>
    </row>
    <row r="147" spans="1:12" x14ac:dyDescent="0.3">
      <c r="A147" s="3" t="s">
        <v>483</v>
      </c>
      <c r="B147" s="3" t="s">
        <v>30</v>
      </c>
      <c r="C147" s="3" t="s">
        <v>45</v>
      </c>
      <c r="D147" s="3" t="s">
        <v>24</v>
      </c>
      <c r="E147" s="3">
        <v>40</v>
      </c>
      <c r="F147" s="3" t="s">
        <v>16</v>
      </c>
      <c r="G147" s="3" t="s">
        <v>17</v>
      </c>
      <c r="H147" s="3" t="s">
        <v>484</v>
      </c>
      <c r="I147" s="3">
        <v>50627</v>
      </c>
      <c r="J147" s="3" t="s">
        <v>80</v>
      </c>
      <c r="K147" s="3" t="s">
        <v>485</v>
      </c>
      <c r="L147" s="4" t="s">
        <v>36</v>
      </c>
    </row>
    <row r="148" spans="1:12" x14ac:dyDescent="0.3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2" t="s">
        <v>36</v>
      </c>
    </row>
    <row r="149" spans="1:12" x14ac:dyDescent="0.3">
      <c r="A149" s="3" t="s">
        <v>489</v>
      </c>
      <c r="B149" s="3" t="s">
        <v>54</v>
      </c>
      <c r="C149" s="3" t="s">
        <v>63</v>
      </c>
      <c r="D149" s="3" t="s">
        <v>15</v>
      </c>
      <c r="E149" s="3">
        <v>53</v>
      </c>
      <c r="F149" s="3" t="s">
        <v>50</v>
      </c>
      <c r="G149" s="3" t="s">
        <v>32</v>
      </c>
      <c r="H149" s="3" t="s">
        <v>490</v>
      </c>
      <c r="I149" s="3">
        <v>98718</v>
      </c>
      <c r="J149" s="3" t="s">
        <v>34</v>
      </c>
      <c r="K149" s="3" t="s">
        <v>491</v>
      </c>
      <c r="L149" s="4" t="s">
        <v>21</v>
      </c>
    </row>
    <row r="150" spans="1:12" x14ac:dyDescent="0.3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2" t="s">
        <v>36</v>
      </c>
    </row>
    <row r="151" spans="1:12" x14ac:dyDescent="0.3">
      <c r="A151" s="3" t="s">
        <v>494</v>
      </c>
      <c r="B151" s="3" t="s">
        <v>30</v>
      </c>
      <c r="C151" s="3" t="s">
        <v>130</v>
      </c>
      <c r="D151" s="3" t="s">
        <v>15</v>
      </c>
      <c r="E151" s="3">
        <v>54</v>
      </c>
      <c r="F151" s="3" t="s">
        <v>25</v>
      </c>
      <c r="G151" s="3" t="s">
        <v>108</v>
      </c>
      <c r="H151" s="3" t="s">
        <v>495</v>
      </c>
      <c r="I151" s="3">
        <v>92735</v>
      </c>
      <c r="J151" s="3" t="s">
        <v>60</v>
      </c>
      <c r="K151" s="3" t="s">
        <v>496</v>
      </c>
      <c r="L151" s="4" t="s">
        <v>36</v>
      </c>
    </row>
    <row r="152" spans="1:12" x14ac:dyDescent="0.3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2" t="s">
        <v>36</v>
      </c>
    </row>
    <row r="153" spans="1:12" x14ac:dyDescent="0.3">
      <c r="A153" s="3" t="s">
        <v>500</v>
      </c>
      <c r="B153" s="3" t="s">
        <v>38</v>
      </c>
      <c r="C153" s="3" t="s">
        <v>90</v>
      </c>
      <c r="D153" s="3" t="s">
        <v>15</v>
      </c>
      <c r="E153" s="3">
        <v>25</v>
      </c>
      <c r="F153" s="3" t="s">
        <v>25</v>
      </c>
      <c r="G153" s="3" t="s">
        <v>32</v>
      </c>
      <c r="H153" s="3" t="s">
        <v>501</v>
      </c>
      <c r="I153" s="3">
        <v>94614</v>
      </c>
      <c r="J153" s="3" t="s">
        <v>34</v>
      </c>
      <c r="K153" s="3" t="s">
        <v>502</v>
      </c>
      <c r="L153" s="4" t="s">
        <v>21</v>
      </c>
    </row>
    <row r="154" spans="1:12" x14ac:dyDescent="0.3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2" t="s">
        <v>21</v>
      </c>
    </row>
    <row r="155" spans="1:12" x14ac:dyDescent="0.3">
      <c r="A155" s="3" t="s">
        <v>506</v>
      </c>
      <c r="B155" s="3" t="s">
        <v>49</v>
      </c>
      <c r="C155" s="3" t="s">
        <v>90</v>
      </c>
      <c r="D155" s="3" t="s">
        <v>24</v>
      </c>
      <c r="E155" s="3">
        <v>48</v>
      </c>
      <c r="F155" s="3" t="s">
        <v>31</v>
      </c>
      <c r="G155" s="3" t="s">
        <v>17</v>
      </c>
      <c r="H155" s="3" t="s">
        <v>507</v>
      </c>
      <c r="I155" s="3">
        <v>47666</v>
      </c>
      <c r="J155" s="3" t="s">
        <v>80</v>
      </c>
      <c r="K155" s="3" t="s">
        <v>508</v>
      </c>
      <c r="L155" s="4" t="s">
        <v>36</v>
      </c>
    </row>
    <row r="156" spans="1:12" x14ac:dyDescent="0.3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2" t="s">
        <v>36</v>
      </c>
    </row>
    <row r="157" spans="1:12" x14ac:dyDescent="0.3">
      <c r="A157" s="3" t="s">
        <v>512</v>
      </c>
      <c r="B157" s="3" t="s">
        <v>71</v>
      </c>
      <c r="C157" s="3" t="s">
        <v>23</v>
      </c>
      <c r="D157" s="3" t="s">
        <v>24</v>
      </c>
      <c r="E157" s="3">
        <v>22</v>
      </c>
      <c r="F157" s="3" t="s">
        <v>25</v>
      </c>
      <c r="G157" s="3" t="s">
        <v>108</v>
      </c>
      <c r="H157" s="3" t="s">
        <v>513</v>
      </c>
      <c r="I157" s="3">
        <v>60944</v>
      </c>
      <c r="J157" s="3" t="s">
        <v>65</v>
      </c>
      <c r="K157" s="3" t="s">
        <v>514</v>
      </c>
      <c r="L157" s="4" t="s">
        <v>36</v>
      </c>
    </row>
    <row r="158" spans="1:12" x14ac:dyDescent="0.3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2" t="s">
        <v>21</v>
      </c>
    </row>
    <row r="159" spans="1:12" x14ac:dyDescent="0.3">
      <c r="A159" s="3" t="s">
        <v>518</v>
      </c>
      <c r="B159" s="3" t="s">
        <v>71</v>
      </c>
      <c r="C159" s="3" t="s">
        <v>63</v>
      </c>
      <c r="D159" s="3" t="s">
        <v>15</v>
      </c>
      <c r="E159" s="3">
        <v>42</v>
      </c>
      <c r="F159" s="3" t="s">
        <v>31</v>
      </c>
      <c r="G159" s="3" t="s">
        <v>32</v>
      </c>
      <c r="H159" s="3" t="s">
        <v>519</v>
      </c>
      <c r="I159" s="3">
        <v>65659</v>
      </c>
      <c r="J159" s="3" t="s">
        <v>65</v>
      </c>
      <c r="K159" s="3" t="s">
        <v>520</v>
      </c>
      <c r="L159" s="4" t="s">
        <v>36</v>
      </c>
    </row>
    <row r="160" spans="1:12" x14ac:dyDescent="0.3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2" t="s">
        <v>21</v>
      </c>
    </row>
    <row r="161" spans="1:12" x14ac:dyDescent="0.3">
      <c r="A161" s="3" t="s">
        <v>524</v>
      </c>
      <c r="B161" s="3" t="s">
        <v>71</v>
      </c>
      <c r="C161" s="3" t="s">
        <v>165</v>
      </c>
      <c r="D161" s="3" t="s">
        <v>24</v>
      </c>
      <c r="E161" s="3">
        <v>49</v>
      </c>
      <c r="F161" s="3" t="s">
        <v>50</v>
      </c>
      <c r="G161" s="3" t="s">
        <v>32</v>
      </c>
      <c r="H161" s="3" t="s">
        <v>525</v>
      </c>
      <c r="I161" s="3">
        <v>109819</v>
      </c>
      <c r="J161" s="3" t="s">
        <v>19</v>
      </c>
      <c r="K161" s="3" t="s">
        <v>526</v>
      </c>
      <c r="L161" s="4" t="s">
        <v>21</v>
      </c>
    </row>
    <row r="162" spans="1:12" x14ac:dyDescent="0.3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2" t="s">
        <v>21</v>
      </c>
    </row>
    <row r="163" spans="1:12" x14ac:dyDescent="0.3">
      <c r="A163" s="3" t="s">
        <v>530</v>
      </c>
      <c r="B163" s="3" t="s">
        <v>94</v>
      </c>
      <c r="C163" s="3" t="s">
        <v>45</v>
      </c>
      <c r="D163" s="3" t="s">
        <v>24</v>
      </c>
      <c r="E163" s="3">
        <v>51</v>
      </c>
      <c r="F163" s="3" t="s">
        <v>50</v>
      </c>
      <c r="G163" s="3" t="s">
        <v>26</v>
      </c>
      <c r="H163" s="3" t="s">
        <v>258</v>
      </c>
      <c r="I163" s="3">
        <v>103468</v>
      </c>
      <c r="J163" s="3" t="s">
        <v>65</v>
      </c>
      <c r="K163" s="3" t="s">
        <v>531</v>
      </c>
      <c r="L163" s="4" t="s">
        <v>21</v>
      </c>
    </row>
    <row r="164" spans="1:12" x14ac:dyDescent="0.3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2" t="s">
        <v>36</v>
      </c>
    </row>
    <row r="165" spans="1:12" x14ac:dyDescent="0.3">
      <c r="A165" s="3" t="s">
        <v>535</v>
      </c>
      <c r="B165" s="3" t="s">
        <v>49</v>
      </c>
      <c r="C165" s="3" t="s">
        <v>45</v>
      </c>
      <c r="D165" s="3" t="s">
        <v>24</v>
      </c>
      <c r="E165" s="3">
        <v>43</v>
      </c>
      <c r="F165" s="3" t="s">
        <v>31</v>
      </c>
      <c r="G165" s="3" t="s">
        <v>26</v>
      </c>
      <c r="H165" s="3" t="s">
        <v>536</v>
      </c>
      <c r="I165" s="3">
        <v>89628</v>
      </c>
      <c r="J165" s="3" t="s">
        <v>60</v>
      </c>
      <c r="K165" s="3" t="s">
        <v>537</v>
      </c>
      <c r="L165" s="4" t="s">
        <v>21</v>
      </c>
    </row>
    <row r="166" spans="1:12" x14ac:dyDescent="0.3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2" t="s">
        <v>36</v>
      </c>
    </row>
    <row r="167" spans="1:12" x14ac:dyDescent="0.3">
      <c r="A167" s="3" t="s">
        <v>541</v>
      </c>
      <c r="B167" s="3" t="s">
        <v>54</v>
      </c>
      <c r="C167" s="3" t="s">
        <v>90</v>
      </c>
      <c r="D167" s="3" t="s">
        <v>15</v>
      </c>
      <c r="E167" s="3">
        <v>50</v>
      </c>
      <c r="F167" s="3" t="s">
        <v>16</v>
      </c>
      <c r="G167" s="3" t="s">
        <v>26</v>
      </c>
      <c r="H167" s="3" t="s">
        <v>542</v>
      </c>
      <c r="I167" s="3">
        <v>116611</v>
      </c>
      <c r="J167" s="3" t="s">
        <v>65</v>
      </c>
      <c r="K167" s="3" t="s">
        <v>543</v>
      </c>
      <c r="L167" s="4" t="s">
        <v>36</v>
      </c>
    </row>
    <row r="168" spans="1:12" x14ac:dyDescent="0.3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2" t="s">
        <v>36</v>
      </c>
    </row>
    <row r="169" spans="1:12" x14ac:dyDescent="0.3">
      <c r="A169" s="3" t="s">
        <v>547</v>
      </c>
      <c r="B169" s="3" t="s">
        <v>54</v>
      </c>
      <c r="C169" s="3" t="s">
        <v>83</v>
      </c>
      <c r="D169" s="3" t="s">
        <v>24</v>
      </c>
      <c r="E169" s="3">
        <v>48</v>
      </c>
      <c r="F169" s="3" t="s">
        <v>39</v>
      </c>
      <c r="G169" s="3" t="s">
        <v>32</v>
      </c>
      <c r="H169" s="3" t="s">
        <v>548</v>
      </c>
      <c r="I169" s="3">
        <v>45767</v>
      </c>
      <c r="J169" s="3" t="s">
        <v>80</v>
      </c>
      <c r="K169" s="3" t="s">
        <v>549</v>
      </c>
      <c r="L169" s="4" t="s">
        <v>36</v>
      </c>
    </row>
    <row r="170" spans="1:12" x14ac:dyDescent="0.3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2" t="s">
        <v>36</v>
      </c>
    </row>
    <row r="171" spans="1:12" x14ac:dyDescent="0.3">
      <c r="A171" s="3" t="s">
        <v>553</v>
      </c>
      <c r="B171" s="3" t="s">
        <v>71</v>
      </c>
      <c r="C171" s="3" t="s">
        <v>23</v>
      </c>
      <c r="D171" s="3" t="s">
        <v>24</v>
      </c>
      <c r="E171" s="3">
        <v>46</v>
      </c>
      <c r="F171" s="3" t="s">
        <v>16</v>
      </c>
      <c r="G171" s="3" t="s">
        <v>108</v>
      </c>
      <c r="H171" s="3" t="s">
        <v>554</v>
      </c>
      <c r="I171" s="3">
        <v>116657</v>
      </c>
      <c r="J171" s="3" t="s">
        <v>60</v>
      </c>
      <c r="K171" s="3" t="s">
        <v>555</v>
      </c>
      <c r="L171" s="4" t="s">
        <v>36</v>
      </c>
    </row>
    <row r="172" spans="1:12" x14ac:dyDescent="0.3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2" t="s">
        <v>36</v>
      </c>
    </row>
    <row r="173" spans="1:12" x14ac:dyDescent="0.3">
      <c r="A173" s="3" t="s">
        <v>559</v>
      </c>
      <c r="B173" s="3" t="s">
        <v>143</v>
      </c>
      <c r="C173" s="3" t="s">
        <v>63</v>
      </c>
      <c r="D173" s="3" t="s">
        <v>24</v>
      </c>
      <c r="E173" s="3">
        <v>44</v>
      </c>
      <c r="F173" s="3" t="s">
        <v>25</v>
      </c>
      <c r="G173" s="3" t="s">
        <v>108</v>
      </c>
      <c r="H173" s="3" t="s">
        <v>560</v>
      </c>
      <c r="I173" s="3">
        <v>37908</v>
      </c>
      <c r="J173" s="3" t="s">
        <v>65</v>
      </c>
      <c r="K173" s="3" t="s">
        <v>561</v>
      </c>
      <c r="L173" s="4" t="s">
        <v>21</v>
      </c>
    </row>
    <row r="174" spans="1:12" x14ac:dyDescent="0.3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2" t="s">
        <v>21</v>
      </c>
    </row>
    <row r="175" spans="1:12" x14ac:dyDescent="0.3">
      <c r="A175" s="3" t="s">
        <v>565</v>
      </c>
      <c r="B175" s="3" t="s">
        <v>94</v>
      </c>
      <c r="C175" s="3" t="s">
        <v>130</v>
      </c>
      <c r="D175" s="3" t="s">
        <v>15</v>
      </c>
      <c r="E175" s="3">
        <v>29</v>
      </c>
      <c r="F175" s="3" t="s">
        <v>39</v>
      </c>
      <c r="G175" s="3" t="s">
        <v>108</v>
      </c>
      <c r="H175" s="3" t="s">
        <v>566</v>
      </c>
      <c r="I175" s="3">
        <v>101504</v>
      </c>
      <c r="J175" s="3" t="s">
        <v>80</v>
      </c>
      <c r="K175" s="3" t="s">
        <v>567</v>
      </c>
      <c r="L175" s="4" t="s">
        <v>21</v>
      </c>
    </row>
    <row r="176" spans="1:12" x14ac:dyDescent="0.3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2" t="s">
        <v>21</v>
      </c>
    </row>
    <row r="177" spans="1:12" x14ac:dyDescent="0.3">
      <c r="A177" s="3" t="s">
        <v>571</v>
      </c>
      <c r="B177" s="3" t="s">
        <v>143</v>
      </c>
      <c r="C177" s="3" t="s">
        <v>83</v>
      </c>
      <c r="D177" s="3" t="s">
        <v>15</v>
      </c>
      <c r="E177" s="3">
        <v>58</v>
      </c>
      <c r="F177" s="3" t="s">
        <v>16</v>
      </c>
      <c r="G177" s="3" t="s">
        <v>32</v>
      </c>
      <c r="H177" s="3" t="s">
        <v>572</v>
      </c>
      <c r="I177" s="3">
        <v>78149</v>
      </c>
      <c r="J177" s="3" t="s">
        <v>19</v>
      </c>
      <c r="K177" s="3" t="s">
        <v>573</v>
      </c>
      <c r="L177" s="4" t="s">
        <v>36</v>
      </c>
    </row>
    <row r="178" spans="1:12" x14ac:dyDescent="0.3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2" t="s">
        <v>36</v>
      </c>
    </row>
    <row r="179" spans="1:12" x14ac:dyDescent="0.3">
      <c r="A179" s="3" t="s">
        <v>577</v>
      </c>
      <c r="B179" s="3" t="s">
        <v>58</v>
      </c>
      <c r="C179" s="3" t="s">
        <v>78</v>
      </c>
      <c r="D179" s="3" t="s">
        <v>24</v>
      </c>
      <c r="E179" s="3">
        <v>50</v>
      </c>
      <c r="F179" s="3" t="s">
        <v>16</v>
      </c>
      <c r="G179" s="3" t="s">
        <v>40</v>
      </c>
      <c r="H179" s="3" t="s">
        <v>578</v>
      </c>
      <c r="I179" s="3">
        <v>47599</v>
      </c>
      <c r="J179" s="3" t="s">
        <v>80</v>
      </c>
      <c r="K179" s="3" t="s">
        <v>579</v>
      </c>
      <c r="L179" s="4" t="s">
        <v>21</v>
      </c>
    </row>
    <row r="180" spans="1:12" x14ac:dyDescent="0.3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2" t="s">
        <v>36</v>
      </c>
    </row>
    <row r="181" spans="1:12" x14ac:dyDescent="0.3">
      <c r="A181" s="3" t="s">
        <v>583</v>
      </c>
      <c r="B181" s="3" t="s">
        <v>30</v>
      </c>
      <c r="C181" s="3" t="s">
        <v>78</v>
      </c>
      <c r="D181" s="3" t="s">
        <v>24</v>
      </c>
      <c r="E181" s="3">
        <v>52</v>
      </c>
      <c r="F181" s="3" t="s">
        <v>31</v>
      </c>
      <c r="G181" s="3" t="s">
        <v>17</v>
      </c>
      <c r="H181" s="3" t="s">
        <v>584</v>
      </c>
      <c r="I181" s="3">
        <v>82496</v>
      </c>
      <c r="J181" s="3" t="s">
        <v>65</v>
      </c>
      <c r="K181" s="3" t="s">
        <v>585</v>
      </c>
      <c r="L181" s="4" t="s">
        <v>21</v>
      </c>
    </row>
    <row r="182" spans="1:12" x14ac:dyDescent="0.3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2" t="s">
        <v>36</v>
      </c>
    </row>
    <row r="183" spans="1:12" x14ac:dyDescent="0.3">
      <c r="A183" s="3" t="s">
        <v>589</v>
      </c>
      <c r="B183" s="3" t="s">
        <v>143</v>
      </c>
      <c r="C183" s="3" t="s">
        <v>14</v>
      </c>
      <c r="D183" s="3" t="s">
        <v>15</v>
      </c>
      <c r="E183" s="3">
        <v>48</v>
      </c>
      <c r="F183" s="3" t="s">
        <v>50</v>
      </c>
      <c r="G183" s="3" t="s">
        <v>26</v>
      </c>
      <c r="H183" s="3" t="s">
        <v>590</v>
      </c>
      <c r="I183" s="3">
        <v>119053</v>
      </c>
      <c r="J183" s="3" t="s">
        <v>19</v>
      </c>
      <c r="K183" s="3" t="s">
        <v>591</v>
      </c>
      <c r="L183" s="4" t="s">
        <v>21</v>
      </c>
    </row>
    <row r="184" spans="1:12" x14ac:dyDescent="0.3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2" t="s">
        <v>21</v>
      </c>
    </row>
    <row r="185" spans="1:12" x14ac:dyDescent="0.3">
      <c r="A185" s="3" t="s">
        <v>595</v>
      </c>
      <c r="B185" s="3" t="s">
        <v>143</v>
      </c>
      <c r="C185" s="3" t="s">
        <v>63</v>
      </c>
      <c r="D185" s="3" t="s">
        <v>15</v>
      </c>
      <c r="E185" s="3">
        <v>55</v>
      </c>
      <c r="F185" s="3" t="s">
        <v>25</v>
      </c>
      <c r="G185" s="3" t="s">
        <v>17</v>
      </c>
      <c r="H185" s="3" t="s">
        <v>596</v>
      </c>
      <c r="I185" s="3">
        <v>73063</v>
      </c>
      <c r="J185" s="3" t="s">
        <v>80</v>
      </c>
      <c r="K185" s="3" t="s">
        <v>597</v>
      </c>
      <c r="L185" s="4" t="s">
        <v>21</v>
      </c>
    </row>
    <row r="186" spans="1:12" x14ac:dyDescent="0.3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2" t="s">
        <v>36</v>
      </c>
    </row>
    <row r="187" spans="1:12" x14ac:dyDescent="0.3">
      <c r="A187" s="3" t="s">
        <v>600</v>
      </c>
      <c r="B187" s="3" t="s">
        <v>38</v>
      </c>
      <c r="C187" s="3" t="s">
        <v>130</v>
      </c>
      <c r="D187" s="3" t="s">
        <v>24</v>
      </c>
      <c r="E187" s="3">
        <v>41</v>
      </c>
      <c r="F187" s="3" t="s">
        <v>31</v>
      </c>
      <c r="G187" s="3" t="s">
        <v>26</v>
      </c>
      <c r="H187" s="3" t="s">
        <v>601</v>
      </c>
      <c r="I187" s="3">
        <v>67422</v>
      </c>
      <c r="J187" s="3" t="s">
        <v>65</v>
      </c>
      <c r="K187" s="3" t="s">
        <v>602</v>
      </c>
      <c r="L187" s="4" t="s">
        <v>36</v>
      </c>
    </row>
    <row r="188" spans="1:12" x14ac:dyDescent="0.3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2" t="s">
        <v>36</v>
      </c>
    </row>
    <row r="189" spans="1:12" x14ac:dyDescent="0.3">
      <c r="A189" s="3" t="s">
        <v>605</v>
      </c>
      <c r="B189" s="3" t="s">
        <v>49</v>
      </c>
      <c r="C189" s="3" t="s">
        <v>165</v>
      </c>
      <c r="D189" s="3" t="s">
        <v>15</v>
      </c>
      <c r="E189" s="3">
        <v>48</v>
      </c>
      <c r="F189" s="3" t="s">
        <v>39</v>
      </c>
      <c r="G189" s="3" t="s">
        <v>17</v>
      </c>
      <c r="H189" s="3" t="s">
        <v>606</v>
      </c>
      <c r="I189" s="3">
        <v>96540</v>
      </c>
      <c r="J189" s="3" t="s">
        <v>34</v>
      </c>
      <c r="K189" s="3" t="s">
        <v>607</v>
      </c>
      <c r="L189" s="4" t="s">
        <v>36</v>
      </c>
    </row>
    <row r="190" spans="1:12" x14ac:dyDescent="0.3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2" t="s">
        <v>21</v>
      </c>
    </row>
    <row r="191" spans="1:12" x14ac:dyDescent="0.3">
      <c r="A191" s="3" t="s">
        <v>611</v>
      </c>
      <c r="B191" s="3" t="s">
        <v>58</v>
      </c>
      <c r="C191" s="3" t="s">
        <v>130</v>
      </c>
      <c r="D191" s="3" t="s">
        <v>24</v>
      </c>
      <c r="E191" s="3">
        <v>26</v>
      </c>
      <c r="F191" s="3" t="s">
        <v>31</v>
      </c>
      <c r="G191" s="3" t="s">
        <v>17</v>
      </c>
      <c r="H191" s="3" t="s">
        <v>612</v>
      </c>
      <c r="I191" s="3">
        <v>92562</v>
      </c>
      <c r="J191" s="3" t="s">
        <v>34</v>
      </c>
      <c r="K191" s="3" t="s">
        <v>613</v>
      </c>
      <c r="L191" s="4" t="s">
        <v>36</v>
      </c>
    </row>
    <row r="192" spans="1:12" x14ac:dyDescent="0.3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2" t="s">
        <v>36</v>
      </c>
    </row>
    <row r="193" spans="1:12" x14ac:dyDescent="0.3">
      <c r="A193" s="3" t="s">
        <v>617</v>
      </c>
      <c r="B193" s="3" t="s">
        <v>143</v>
      </c>
      <c r="C193" s="3" t="s">
        <v>95</v>
      </c>
      <c r="D193" s="3" t="s">
        <v>24</v>
      </c>
      <c r="E193" s="3">
        <v>23</v>
      </c>
      <c r="F193" s="3" t="s">
        <v>16</v>
      </c>
      <c r="G193" s="3" t="s">
        <v>32</v>
      </c>
      <c r="H193" s="3" t="s">
        <v>618</v>
      </c>
      <c r="I193" s="3">
        <v>114420</v>
      </c>
      <c r="J193" s="3" t="s">
        <v>19</v>
      </c>
      <c r="K193" s="3" t="s">
        <v>619</v>
      </c>
      <c r="L193" s="4" t="s">
        <v>21</v>
      </c>
    </row>
    <row r="194" spans="1:12" x14ac:dyDescent="0.3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2" t="s">
        <v>21</v>
      </c>
    </row>
    <row r="195" spans="1:12" x14ac:dyDescent="0.3">
      <c r="A195" s="3" t="s">
        <v>623</v>
      </c>
      <c r="B195" s="3" t="s">
        <v>94</v>
      </c>
      <c r="C195" s="3" t="s">
        <v>45</v>
      </c>
      <c r="D195" s="3" t="s">
        <v>24</v>
      </c>
      <c r="E195" s="3">
        <v>54</v>
      </c>
      <c r="F195" s="3" t="s">
        <v>31</v>
      </c>
      <c r="G195" s="3" t="s">
        <v>108</v>
      </c>
      <c r="H195" s="3" t="s">
        <v>624</v>
      </c>
      <c r="I195" s="3">
        <v>100498</v>
      </c>
      <c r="J195" s="3" t="s">
        <v>65</v>
      </c>
      <c r="K195" s="3" t="s">
        <v>625</v>
      </c>
      <c r="L195" s="4" t="s">
        <v>36</v>
      </c>
    </row>
    <row r="196" spans="1:12" x14ac:dyDescent="0.3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2" t="s">
        <v>21</v>
      </c>
    </row>
    <row r="197" spans="1:12" x14ac:dyDescent="0.3">
      <c r="A197" s="3" t="s">
        <v>629</v>
      </c>
      <c r="B197" s="3" t="s">
        <v>58</v>
      </c>
      <c r="C197" s="3" t="s">
        <v>83</v>
      </c>
      <c r="D197" s="3" t="s">
        <v>24</v>
      </c>
      <c r="E197" s="3">
        <v>46</v>
      </c>
      <c r="F197" s="3" t="s">
        <v>39</v>
      </c>
      <c r="G197" s="3" t="s">
        <v>26</v>
      </c>
      <c r="H197" s="3" t="s">
        <v>630</v>
      </c>
      <c r="I197" s="3">
        <v>37033</v>
      </c>
      <c r="J197" s="3" t="s">
        <v>60</v>
      </c>
      <c r="K197" s="3" t="s">
        <v>631</v>
      </c>
      <c r="L197" s="4" t="s">
        <v>36</v>
      </c>
    </row>
    <row r="198" spans="1:12" x14ac:dyDescent="0.3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2" t="s">
        <v>21</v>
      </c>
    </row>
    <row r="199" spans="1:12" x14ac:dyDescent="0.3">
      <c r="A199" s="3" t="s">
        <v>635</v>
      </c>
      <c r="B199" s="3" t="s">
        <v>44</v>
      </c>
      <c r="C199" s="3" t="s">
        <v>130</v>
      </c>
      <c r="D199" s="3" t="s">
        <v>15</v>
      </c>
      <c r="E199" s="3">
        <v>29</v>
      </c>
      <c r="F199" s="3" t="s">
        <v>16</v>
      </c>
      <c r="G199" s="3" t="s">
        <v>40</v>
      </c>
      <c r="H199" s="3" t="s">
        <v>261</v>
      </c>
      <c r="I199" s="3">
        <v>49357</v>
      </c>
      <c r="J199" s="3" t="s">
        <v>60</v>
      </c>
      <c r="K199" s="3" t="s">
        <v>636</v>
      </c>
      <c r="L199" s="4" t="s">
        <v>21</v>
      </c>
    </row>
    <row r="200" spans="1:12" x14ac:dyDescent="0.3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2" t="s">
        <v>36</v>
      </c>
    </row>
    <row r="201" spans="1:12" x14ac:dyDescent="0.3">
      <c r="A201" s="3" t="s">
        <v>640</v>
      </c>
      <c r="B201" s="3" t="s">
        <v>94</v>
      </c>
      <c r="C201" s="3" t="s">
        <v>165</v>
      </c>
      <c r="D201" s="3" t="s">
        <v>24</v>
      </c>
      <c r="E201" s="3">
        <v>37</v>
      </c>
      <c r="F201" s="3" t="s">
        <v>50</v>
      </c>
      <c r="G201" s="3" t="s">
        <v>17</v>
      </c>
      <c r="H201" s="3" t="s">
        <v>641</v>
      </c>
      <c r="I201" s="3">
        <v>45788</v>
      </c>
      <c r="J201" s="3" t="s">
        <v>80</v>
      </c>
      <c r="K201" s="3" t="s">
        <v>642</v>
      </c>
      <c r="L201" s="4" t="s">
        <v>36</v>
      </c>
    </row>
    <row r="202" spans="1:12" x14ac:dyDescent="0.3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2" t="s">
        <v>36</v>
      </c>
    </row>
    <row r="203" spans="1:12" x14ac:dyDescent="0.3">
      <c r="A203" s="3" t="s">
        <v>646</v>
      </c>
      <c r="B203" s="3" t="s">
        <v>44</v>
      </c>
      <c r="C203" s="3" t="s">
        <v>165</v>
      </c>
      <c r="D203" s="3" t="s">
        <v>24</v>
      </c>
      <c r="E203" s="3">
        <v>48</v>
      </c>
      <c r="F203" s="3" t="s">
        <v>25</v>
      </c>
      <c r="G203" s="3" t="s">
        <v>40</v>
      </c>
      <c r="H203" s="3" t="s">
        <v>647</v>
      </c>
      <c r="I203" s="3">
        <v>76132</v>
      </c>
      <c r="J203" s="3" t="s">
        <v>19</v>
      </c>
      <c r="K203" s="3" t="s">
        <v>648</v>
      </c>
      <c r="L203" s="4" t="s">
        <v>36</v>
      </c>
    </row>
    <row r="204" spans="1:12" x14ac:dyDescent="0.3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2" t="s">
        <v>21</v>
      </c>
    </row>
    <row r="205" spans="1:12" x14ac:dyDescent="0.3">
      <c r="A205" s="3" t="s">
        <v>652</v>
      </c>
      <c r="B205" s="3" t="s">
        <v>30</v>
      </c>
      <c r="C205" s="3" t="s">
        <v>23</v>
      </c>
      <c r="D205" s="3" t="s">
        <v>15</v>
      </c>
      <c r="E205" s="3">
        <v>25</v>
      </c>
      <c r="F205" s="3" t="s">
        <v>16</v>
      </c>
      <c r="G205" s="3" t="s">
        <v>40</v>
      </c>
      <c r="H205" s="3" t="s">
        <v>653</v>
      </c>
      <c r="I205" s="3">
        <v>84117</v>
      </c>
      <c r="J205" s="3" t="s">
        <v>80</v>
      </c>
      <c r="K205" s="3" t="s">
        <v>654</v>
      </c>
      <c r="L205" s="4" t="s">
        <v>36</v>
      </c>
    </row>
    <row r="206" spans="1:12" x14ac:dyDescent="0.3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2" t="s">
        <v>36</v>
      </c>
    </row>
    <row r="207" spans="1:12" x14ac:dyDescent="0.3">
      <c r="A207" s="3" t="s">
        <v>658</v>
      </c>
      <c r="B207" s="3" t="s">
        <v>13</v>
      </c>
      <c r="C207" s="3" t="s">
        <v>45</v>
      </c>
      <c r="D207" s="3" t="s">
        <v>15</v>
      </c>
      <c r="E207" s="3">
        <v>23</v>
      </c>
      <c r="F207" s="3" t="s">
        <v>16</v>
      </c>
      <c r="G207" s="3" t="s">
        <v>40</v>
      </c>
      <c r="H207" s="3" t="s">
        <v>472</v>
      </c>
      <c r="I207" s="3">
        <v>93395</v>
      </c>
      <c r="J207" s="3" t="s">
        <v>65</v>
      </c>
      <c r="K207" s="3" t="s">
        <v>659</v>
      </c>
      <c r="L207" s="4" t="s">
        <v>21</v>
      </c>
    </row>
    <row r="208" spans="1:12" x14ac:dyDescent="0.3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2" t="s">
        <v>21</v>
      </c>
    </row>
    <row r="209" spans="1:12" x14ac:dyDescent="0.3">
      <c r="A209" s="3" t="s">
        <v>663</v>
      </c>
      <c r="B209" s="3" t="s">
        <v>71</v>
      </c>
      <c r="C209" s="3" t="s">
        <v>63</v>
      </c>
      <c r="D209" s="3" t="s">
        <v>24</v>
      </c>
      <c r="E209" s="3">
        <v>33</v>
      </c>
      <c r="F209" s="3" t="s">
        <v>39</v>
      </c>
      <c r="G209" s="3" t="s">
        <v>40</v>
      </c>
      <c r="H209" s="3" t="s">
        <v>664</v>
      </c>
      <c r="I209" s="3">
        <v>115357</v>
      </c>
      <c r="J209" s="3" t="s">
        <v>19</v>
      </c>
      <c r="K209" s="3" t="s">
        <v>665</v>
      </c>
      <c r="L209" s="4" t="s">
        <v>36</v>
      </c>
    </row>
    <row r="210" spans="1:12" x14ac:dyDescent="0.3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2" t="s">
        <v>36</v>
      </c>
    </row>
    <row r="211" spans="1:12" x14ac:dyDescent="0.3">
      <c r="A211" s="3" t="s">
        <v>668</v>
      </c>
      <c r="B211" s="3" t="s">
        <v>38</v>
      </c>
      <c r="C211" s="3" t="s">
        <v>165</v>
      </c>
      <c r="D211" s="3" t="s">
        <v>15</v>
      </c>
      <c r="E211" s="3">
        <v>42</v>
      </c>
      <c r="F211" s="3" t="s">
        <v>16</v>
      </c>
      <c r="G211" s="3" t="s">
        <v>108</v>
      </c>
      <c r="H211" s="3" t="s">
        <v>669</v>
      </c>
      <c r="I211" s="3">
        <v>106174</v>
      </c>
      <c r="J211" s="3" t="s">
        <v>65</v>
      </c>
      <c r="K211" s="3" t="s">
        <v>670</v>
      </c>
      <c r="L211" s="4" t="s">
        <v>21</v>
      </c>
    </row>
    <row r="212" spans="1:12" x14ac:dyDescent="0.3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2" t="s">
        <v>21</v>
      </c>
    </row>
    <row r="213" spans="1:12" x14ac:dyDescent="0.3">
      <c r="A213" s="3" t="s">
        <v>674</v>
      </c>
      <c r="B213" s="3" t="s">
        <v>143</v>
      </c>
      <c r="C213" s="3" t="s">
        <v>23</v>
      </c>
      <c r="D213" s="3" t="s">
        <v>15</v>
      </c>
      <c r="E213" s="3">
        <v>55</v>
      </c>
      <c r="F213" s="3" t="s">
        <v>31</v>
      </c>
      <c r="G213" s="3" t="s">
        <v>40</v>
      </c>
      <c r="H213" s="3" t="s">
        <v>675</v>
      </c>
      <c r="I213" s="3">
        <v>103478</v>
      </c>
      <c r="J213" s="3" t="s">
        <v>65</v>
      </c>
      <c r="K213" s="3" t="s">
        <v>676</v>
      </c>
      <c r="L213" s="4" t="s">
        <v>21</v>
      </c>
    </row>
    <row r="214" spans="1:12" x14ac:dyDescent="0.3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2" t="s">
        <v>36</v>
      </c>
    </row>
    <row r="215" spans="1:12" x14ac:dyDescent="0.3">
      <c r="A215" s="3" t="s">
        <v>680</v>
      </c>
      <c r="B215" s="3" t="s">
        <v>49</v>
      </c>
      <c r="C215" s="3" t="s">
        <v>130</v>
      </c>
      <c r="D215" s="3" t="s">
        <v>15</v>
      </c>
      <c r="E215" s="3">
        <v>46</v>
      </c>
      <c r="F215" s="3" t="s">
        <v>25</v>
      </c>
      <c r="G215" s="3" t="s">
        <v>108</v>
      </c>
      <c r="H215" s="3" t="s">
        <v>681</v>
      </c>
      <c r="I215" s="3">
        <v>53141</v>
      </c>
      <c r="J215" s="3" t="s">
        <v>34</v>
      </c>
      <c r="K215" s="3" t="s">
        <v>682</v>
      </c>
      <c r="L215" s="4" t="s">
        <v>36</v>
      </c>
    </row>
    <row r="216" spans="1:12" x14ac:dyDescent="0.3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2" t="s">
        <v>21</v>
      </c>
    </row>
    <row r="217" spans="1:12" x14ac:dyDescent="0.3">
      <c r="A217" s="3" t="s">
        <v>686</v>
      </c>
      <c r="B217" s="3" t="s">
        <v>38</v>
      </c>
      <c r="C217" s="3" t="s">
        <v>45</v>
      </c>
      <c r="D217" s="3" t="s">
        <v>15</v>
      </c>
      <c r="E217" s="3">
        <v>29</v>
      </c>
      <c r="F217" s="3" t="s">
        <v>50</v>
      </c>
      <c r="G217" s="3" t="s">
        <v>26</v>
      </c>
      <c r="H217" s="3" t="s">
        <v>687</v>
      </c>
      <c r="I217" s="3">
        <v>48946</v>
      </c>
      <c r="J217" s="3" t="s">
        <v>60</v>
      </c>
      <c r="K217" s="3" t="s">
        <v>688</v>
      </c>
      <c r="L217" s="4" t="s">
        <v>36</v>
      </c>
    </row>
    <row r="218" spans="1:12" x14ac:dyDescent="0.3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2" t="s">
        <v>21</v>
      </c>
    </row>
    <row r="219" spans="1:12" x14ac:dyDescent="0.3">
      <c r="A219" s="3" t="s">
        <v>691</v>
      </c>
      <c r="B219" s="3" t="s">
        <v>30</v>
      </c>
      <c r="C219" s="3" t="s">
        <v>130</v>
      </c>
      <c r="D219" s="3" t="s">
        <v>24</v>
      </c>
      <c r="E219" s="3">
        <v>58</v>
      </c>
      <c r="F219" s="3" t="s">
        <v>31</v>
      </c>
      <c r="G219" s="3" t="s">
        <v>108</v>
      </c>
      <c r="H219" s="3" t="s">
        <v>692</v>
      </c>
      <c r="I219" s="3">
        <v>45973</v>
      </c>
      <c r="J219" s="3" t="s">
        <v>65</v>
      </c>
      <c r="K219" s="3" t="s">
        <v>693</v>
      </c>
      <c r="L219" s="4" t="s">
        <v>36</v>
      </c>
    </row>
    <row r="220" spans="1:12" x14ac:dyDescent="0.3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2" t="s">
        <v>36</v>
      </c>
    </row>
    <row r="221" spans="1:12" x14ac:dyDescent="0.3">
      <c r="A221" s="3" t="s">
        <v>697</v>
      </c>
      <c r="B221" s="3" t="s">
        <v>143</v>
      </c>
      <c r="C221" s="3" t="s">
        <v>23</v>
      </c>
      <c r="D221" s="3" t="s">
        <v>24</v>
      </c>
      <c r="E221" s="3">
        <v>25</v>
      </c>
      <c r="F221" s="3" t="s">
        <v>50</v>
      </c>
      <c r="G221" s="3" t="s">
        <v>32</v>
      </c>
      <c r="H221" s="3" t="s">
        <v>424</v>
      </c>
      <c r="I221" s="3">
        <v>39237</v>
      </c>
      <c r="J221" s="3" t="s">
        <v>34</v>
      </c>
      <c r="K221" s="3" t="s">
        <v>698</v>
      </c>
      <c r="L221" s="4" t="s">
        <v>36</v>
      </c>
    </row>
    <row r="222" spans="1:12" x14ac:dyDescent="0.3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2" t="s">
        <v>21</v>
      </c>
    </row>
    <row r="223" spans="1:12" x14ac:dyDescent="0.3">
      <c r="A223" s="3" t="s">
        <v>701</v>
      </c>
      <c r="B223" s="3" t="s">
        <v>13</v>
      </c>
      <c r="C223" s="3" t="s">
        <v>83</v>
      </c>
      <c r="D223" s="3" t="s">
        <v>24</v>
      </c>
      <c r="E223" s="3">
        <v>24</v>
      </c>
      <c r="F223" s="3" t="s">
        <v>50</v>
      </c>
      <c r="G223" s="3" t="s">
        <v>26</v>
      </c>
      <c r="H223" s="3" t="s">
        <v>702</v>
      </c>
      <c r="I223" s="3">
        <v>45012</v>
      </c>
      <c r="J223" s="3" t="s">
        <v>34</v>
      </c>
      <c r="K223" s="3" t="s">
        <v>703</v>
      </c>
      <c r="L223" s="4" t="s">
        <v>36</v>
      </c>
    </row>
    <row r="224" spans="1:12" x14ac:dyDescent="0.3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2" t="s">
        <v>36</v>
      </c>
    </row>
    <row r="225" spans="1:12" x14ac:dyDescent="0.3">
      <c r="A225" s="3" t="s">
        <v>707</v>
      </c>
      <c r="B225" s="3" t="s">
        <v>58</v>
      </c>
      <c r="C225" s="3" t="s">
        <v>165</v>
      </c>
      <c r="D225" s="3" t="s">
        <v>24</v>
      </c>
      <c r="E225" s="3">
        <v>42</v>
      </c>
      <c r="F225" s="3" t="s">
        <v>39</v>
      </c>
      <c r="G225" s="3" t="s">
        <v>40</v>
      </c>
      <c r="H225" s="3" t="s">
        <v>708</v>
      </c>
      <c r="I225" s="3">
        <v>81470</v>
      </c>
      <c r="J225" s="3" t="s">
        <v>34</v>
      </c>
      <c r="K225" s="3" t="s">
        <v>709</v>
      </c>
      <c r="L225" s="4" t="s">
        <v>21</v>
      </c>
    </row>
    <row r="226" spans="1:12" x14ac:dyDescent="0.3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2" t="s">
        <v>36</v>
      </c>
    </row>
    <row r="227" spans="1:12" x14ac:dyDescent="0.3">
      <c r="A227" s="3" t="s">
        <v>713</v>
      </c>
      <c r="B227" s="3" t="s">
        <v>30</v>
      </c>
      <c r="C227" s="3" t="s">
        <v>45</v>
      </c>
      <c r="D227" s="3" t="s">
        <v>15</v>
      </c>
      <c r="E227" s="3">
        <v>45</v>
      </c>
      <c r="F227" s="3" t="s">
        <v>25</v>
      </c>
      <c r="G227" s="3" t="s">
        <v>32</v>
      </c>
      <c r="H227" s="3" t="s">
        <v>714</v>
      </c>
      <c r="I227" s="3">
        <v>69768</v>
      </c>
      <c r="J227" s="3" t="s">
        <v>19</v>
      </c>
      <c r="K227" s="3" t="s">
        <v>715</v>
      </c>
      <c r="L227" s="4" t="s">
        <v>36</v>
      </c>
    </row>
    <row r="228" spans="1:12" x14ac:dyDescent="0.3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2" t="s">
        <v>36</v>
      </c>
    </row>
    <row r="229" spans="1:12" x14ac:dyDescent="0.3">
      <c r="A229" s="3" t="s">
        <v>719</v>
      </c>
      <c r="B229" s="3" t="s">
        <v>143</v>
      </c>
      <c r="C229" s="3" t="s">
        <v>165</v>
      </c>
      <c r="D229" s="3" t="s">
        <v>24</v>
      </c>
      <c r="E229" s="3">
        <v>30</v>
      </c>
      <c r="F229" s="3" t="s">
        <v>31</v>
      </c>
      <c r="G229" s="3" t="s">
        <v>108</v>
      </c>
      <c r="H229" s="3" t="s">
        <v>720</v>
      </c>
      <c r="I229" s="3">
        <v>39186</v>
      </c>
      <c r="J229" s="3" t="s">
        <v>19</v>
      </c>
      <c r="K229" s="3" t="s">
        <v>721</v>
      </c>
      <c r="L229" s="4" t="s">
        <v>21</v>
      </c>
    </row>
    <row r="230" spans="1:12" x14ac:dyDescent="0.3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2" t="s">
        <v>36</v>
      </c>
    </row>
    <row r="231" spans="1:12" x14ac:dyDescent="0.3">
      <c r="A231" s="3" t="s">
        <v>725</v>
      </c>
      <c r="B231" s="3" t="s">
        <v>38</v>
      </c>
      <c r="C231" s="3" t="s">
        <v>78</v>
      </c>
      <c r="D231" s="3" t="s">
        <v>15</v>
      </c>
      <c r="E231" s="3">
        <v>56</v>
      </c>
      <c r="F231" s="3" t="s">
        <v>16</v>
      </c>
      <c r="G231" s="3" t="s">
        <v>26</v>
      </c>
      <c r="H231" s="3" t="s">
        <v>726</v>
      </c>
      <c r="I231" s="3">
        <v>86374</v>
      </c>
      <c r="J231" s="3" t="s">
        <v>19</v>
      </c>
      <c r="K231" s="3" t="s">
        <v>727</v>
      </c>
      <c r="L231" s="4" t="s">
        <v>36</v>
      </c>
    </row>
    <row r="232" spans="1:12" x14ac:dyDescent="0.3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2" t="s">
        <v>21</v>
      </c>
    </row>
    <row r="233" spans="1:12" x14ac:dyDescent="0.3">
      <c r="A233" s="3" t="s">
        <v>731</v>
      </c>
      <c r="B233" s="3" t="s">
        <v>13</v>
      </c>
      <c r="C233" s="3" t="s">
        <v>83</v>
      </c>
      <c r="D233" s="3" t="s">
        <v>15</v>
      </c>
      <c r="E233" s="3">
        <v>55</v>
      </c>
      <c r="F233" s="3" t="s">
        <v>50</v>
      </c>
      <c r="G233" s="3" t="s">
        <v>17</v>
      </c>
      <c r="H233" s="3" t="s">
        <v>732</v>
      </c>
      <c r="I233" s="3">
        <v>94146</v>
      </c>
      <c r="J233" s="3" t="s">
        <v>60</v>
      </c>
      <c r="K233" s="3" t="s">
        <v>733</v>
      </c>
      <c r="L233" s="4" t="s">
        <v>36</v>
      </c>
    </row>
    <row r="234" spans="1:12" x14ac:dyDescent="0.3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2" t="s">
        <v>21</v>
      </c>
    </row>
    <row r="235" spans="1:12" x14ac:dyDescent="0.3">
      <c r="A235" s="3" t="s">
        <v>737</v>
      </c>
      <c r="B235" s="3" t="s">
        <v>94</v>
      </c>
      <c r="C235" s="3" t="s">
        <v>23</v>
      </c>
      <c r="D235" s="3" t="s">
        <v>24</v>
      </c>
      <c r="E235" s="3">
        <v>28</v>
      </c>
      <c r="F235" s="3" t="s">
        <v>50</v>
      </c>
      <c r="G235" s="3" t="s">
        <v>26</v>
      </c>
      <c r="H235" s="3" t="s">
        <v>738</v>
      </c>
      <c r="I235" s="3">
        <v>56052</v>
      </c>
      <c r="J235" s="3" t="s">
        <v>65</v>
      </c>
      <c r="K235" s="3" t="s">
        <v>739</v>
      </c>
      <c r="L235" s="4" t="s">
        <v>36</v>
      </c>
    </row>
    <row r="236" spans="1:12" x14ac:dyDescent="0.3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2" t="s">
        <v>36</v>
      </c>
    </row>
    <row r="237" spans="1:12" x14ac:dyDescent="0.3">
      <c r="A237" s="3" t="s">
        <v>743</v>
      </c>
      <c r="B237" s="3" t="s">
        <v>58</v>
      </c>
      <c r="C237" s="3" t="s">
        <v>165</v>
      </c>
      <c r="D237" s="3" t="s">
        <v>24</v>
      </c>
      <c r="E237" s="3">
        <v>48</v>
      </c>
      <c r="F237" s="3" t="s">
        <v>31</v>
      </c>
      <c r="G237" s="3" t="s">
        <v>108</v>
      </c>
      <c r="H237" s="3" t="s">
        <v>744</v>
      </c>
      <c r="I237" s="3">
        <v>36633</v>
      </c>
      <c r="J237" s="3" t="s">
        <v>60</v>
      </c>
      <c r="K237" s="3" t="s">
        <v>745</v>
      </c>
      <c r="L237" s="4" t="s">
        <v>36</v>
      </c>
    </row>
    <row r="238" spans="1:12" x14ac:dyDescent="0.3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2" t="s">
        <v>36</v>
      </c>
    </row>
    <row r="239" spans="1:12" x14ac:dyDescent="0.3">
      <c r="A239" s="3" t="s">
        <v>749</v>
      </c>
      <c r="B239" s="3" t="s">
        <v>13</v>
      </c>
      <c r="C239" s="3" t="s">
        <v>165</v>
      </c>
      <c r="D239" s="3" t="s">
        <v>15</v>
      </c>
      <c r="E239" s="3">
        <v>57</v>
      </c>
      <c r="F239" s="3" t="s">
        <v>31</v>
      </c>
      <c r="G239" s="3" t="s">
        <v>40</v>
      </c>
      <c r="H239" s="3" t="s">
        <v>750</v>
      </c>
      <c r="I239" s="3">
        <v>44217</v>
      </c>
      <c r="J239" s="3" t="s">
        <v>19</v>
      </c>
      <c r="K239" s="3" t="s">
        <v>751</v>
      </c>
      <c r="L239" s="4" t="s">
        <v>36</v>
      </c>
    </row>
    <row r="240" spans="1:12" x14ac:dyDescent="0.3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2" t="s">
        <v>21</v>
      </c>
    </row>
    <row r="241" spans="1:12" x14ac:dyDescent="0.3">
      <c r="A241" s="3" t="s">
        <v>755</v>
      </c>
      <c r="B241" s="3" t="s">
        <v>30</v>
      </c>
      <c r="C241" s="3" t="s">
        <v>95</v>
      </c>
      <c r="D241" s="3" t="s">
        <v>15</v>
      </c>
      <c r="E241" s="3">
        <v>59</v>
      </c>
      <c r="F241" s="3" t="s">
        <v>50</v>
      </c>
      <c r="G241" s="3" t="s">
        <v>40</v>
      </c>
      <c r="H241" s="3" t="s">
        <v>756</v>
      </c>
      <c r="I241" s="3">
        <v>49878</v>
      </c>
      <c r="J241" s="3" t="s">
        <v>65</v>
      </c>
      <c r="K241" s="3" t="s">
        <v>757</v>
      </c>
      <c r="L241" s="4" t="s">
        <v>21</v>
      </c>
    </row>
    <row r="242" spans="1:12" x14ac:dyDescent="0.3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2" t="s">
        <v>36</v>
      </c>
    </row>
    <row r="243" spans="1:12" x14ac:dyDescent="0.3">
      <c r="A243" s="3" t="s">
        <v>761</v>
      </c>
      <c r="B243" s="3" t="s">
        <v>94</v>
      </c>
      <c r="C243" s="3" t="s">
        <v>14</v>
      </c>
      <c r="D243" s="3" t="s">
        <v>15</v>
      </c>
      <c r="E243" s="3">
        <v>22</v>
      </c>
      <c r="F243" s="3" t="s">
        <v>25</v>
      </c>
      <c r="G243" s="3" t="s">
        <v>26</v>
      </c>
      <c r="H243" s="3" t="s">
        <v>762</v>
      </c>
      <c r="I243" s="3">
        <v>106015</v>
      </c>
      <c r="J243" s="3" t="s">
        <v>19</v>
      </c>
      <c r="K243" s="3" t="s">
        <v>763</v>
      </c>
      <c r="L243" s="4" t="s">
        <v>21</v>
      </c>
    </row>
    <row r="244" spans="1:12" x14ac:dyDescent="0.3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2" t="s">
        <v>21</v>
      </c>
    </row>
    <row r="245" spans="1:12" x14ac:dyDescent="0.3">
      <c r="A245" s="3" t="s">
        <v>767</v>
      </c>
      <c r="B245" s="3" t="s">
        <v>30</v>
      </c>
      <c r="C245" s="3" t="s">
        <v>90</v>
      </c>
      <c r="D245" s="3" t="s">
        <v>24</v>
      </c>
      <c r="E245" s="3">
        <v>47</v>
      </c>
      <c r="F245" s="3" t="s">
        <v>39</v>
      </c>
      <c r="G245" s="3" t="s">
        <v>26</v>
      </c>
      <c r="H245" s="3" t="s">
        <v>166</v>
      </c>
      <c r="I245" s="3">
        <v>60932</v>
      </c>
      <c r="J245" s="3" t="s">
        <v>80</v>
      </c>
      <c r="K245" s="3" t="s">
        <v>768</v>
      </c>
      <c r="L245" s="4" t="s">
        <v>36</v>
      </c>
    </row>
    <row r="246" spans="1:12" x14ac:dyDescent="0.3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2" t="s">
        <v>21</v>
      </c>
    </row>
    <row r="247" spans="1:12" x14ac:dyDescent="0.3">
      <c r="A247" s="3" t="s">
        <v>771</v>
      </c>
      <c r="B247" s="3" t="s">
        <v>13</v>
      </c>
      <c r="C247" s="3" t="s">
        <v>45</v>
      </c>
      <c r="D247" s="3" t="s">
        <v>24</v>
      </c>
      <c r="E247" s="3">
        <v>49</v>
      </c>
      <c r="F247" s="3" t="s">
        <v>50</v>
      </c>
      <c r="G247" s="3" t="s">
        <v>32</v>
      </c>
      <c r="H247" s="3" t="s">
        <v>772</v>
      </c>
      <c r="I247" s="3">
        <v>95198</v>
      </c>
      <c r="J247" s="3" t="s">
        <v>34</v>
      </c>
      <c r="K247" s="3" t="s">
        <v>773</v>
      </c>
      <c r="L247" s="4" t="s">
        <v>21</v>
      </c>
    </row>
    <row r="248" spans="1:12" x14ac:dyDescent="0.3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2" t="s">
        <v>21</v>
      </c>
    </row>
    <row r="249" spans="1:12" x14ac:dyDescent="0.3">
      <c r="A249" s="3" t="s">
        <v>777</v>
      </c>
      <c r="B249" s="3" t="s">
        <v>44</v>
      </c>
      <c r="C249" s="3" t="s">
        <v>14</v>
      </c>
      <c r="D249" s="3" t="s">
        <v>15</v>
      </c>
      <c r="E249" s="3">
        <v>48</v>
      </c>
      <c r="F249" s="3" t="s">
        <v>16</v>
      </c>
      <c r="G249" s="3" t="s">
        <v>32</v>
      </c>
      <c r="H249" s="3" t="s">
        <v>778</v>
      </c>
      <c r="I249" s="3">
        <v>48738</v>
      </c>
      <c r="J249" s="3" t="s">
        <v>60</v>
      </c>
      <c r="K249" s="3" t="s">
        <v>779</v>
      </c>
      <c r="L249" s="4" t="s">
        <v>21</v>
      </c>
    </row>
    <row r="250" spans="1:12" x14ac:dyDescent="0.3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2" t="s">
        <v>21</v>
      </c>
    </row>
    <row r="251" spans="1:12" x14ac:dyDescent="0.3">
      <c r="A251" s="3" t="s">
        <v>782</v>
      </c>
      <c r="B251" s="3" t="s">
        <v>71</v>
      </c>
      <c r="C251" s="3" t="s">
        <v>23</v>
      </c>
      <c r="D251" s="3" t="s">
        <v>24</v>
      </c>
      <c r="E251" s="3">
        <v>55</v>
      </c>
      <c r="F251" s="3" t="s">
        <v>16</v>
      </c>
      <c r="G251" s="3" t="s">
        <v>17</v>
      </c>
      <c r="H251" s="3" t="s">
        <v>783</v>
      </c>
      <c r="I251" s="3">
        <v>116007</v>
      </c>
      <c r="J251" s="3" t="s">
        <v>65</v>
      </c>
      <c r="K251" s="3" t="s">
        <v>784</v>
      </c>
      <c r="L251" s="4" t="s">
        <v>21</v>
      </c>
    </row>
    <row r="252" spans="1:12" x14ac:dyDescent="0.3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2" t="s">
        <v>21</v>
      </c>
    </row>
    <row r="253" spans="1:12" x14ac:dyDescent="0.3">
      <c r="A253" s="3" t="s">
        <v>788</v>
      </c>
      <c r="B253" s="3" t="s">
        <v>54</v>
      </c>
      <c r="C253" s="3" t="s">
        <v>165</v>
      </c>
      <c r="D253" s="3" t="s">
        <v>15</v>
      </c>
      <c r="E253" s="3">
        <v>52</v>
      </c>
      <c r="F253" s="3" t="s">
        <v>31</v>
      </c>
      <c r="G253" s="3" t="s">
        <v>40</v>
      </c>
      <c r="H253" s="3" t="s">
        <v>124</v>
      </c>
      <c r="I253" s="3">
        <v>79852</v>
      </c>
      <c r="J253" s="3" t="s">
        <v>34</v>
      </c>
      <c r="K253" s="3" t="s">
        <v>789</v>
      </c>
      <c r="L253" s="4" t="s">
        <v>36</v>
      </c>
    </row>
    <row r="254" spans="1:12" x14ac:dyDescent="0.3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2" t="s">
        <v>21</v>
      </c>
    </row>
    <row r="255" spans="1:12" x14ac:dyDescent="0.3">
      <c r="A255" s="3" t="s">
        <v>793</v>
      </c>
      <c r="B255" s="3" t="s">
        <v>38</v>
      </c>
      <c r="C255" s="3" t="s">
        <v>45</v>
      </c>
      <c r="D255" s="3" t="s">
        <v>15</v>
      </c>
      <c r="E255" s="3">
        <v>42</v>
      </c>
      <c r="F255" s="3" t="s">
        <v>25</v>
      </c>
      <c r="G255" s="3" t="s">
        <v>32</v>
      </c>
      <c r="H255" s="3" t="s">
        <v>794</v>
      </c>
      <c r="I255" s="3">
        <v>43197</v>
      </c>
      <c r="J255" s="3" t="s">
        <v>19</v>
      </c>
      <c r="K255" s="3" t="s">
        <v>795</v>
      </c>
      <c r="L255" s="4" t="s">
        <v>36</v>
      </c>
    </row>
    <row r="256" spans="1:12" x14ac:dyDescent="0.3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2" t="s">
        <v>21</v>
      </c>
    </row>
    <row r="257" spans="1:12" x14ac:dyDescent="0.3">
      <c r="A257" s="3" t="s">
        <v>799</v>
      </c>
      <c r="B257" s="3" t="s">
        <v>143</v>
      </c>
      <c r="C257" s="3" t="s">
        <v>130</v>
      </c>
      <c r="D257" s="3" t="s">
        <v>24</v>
      </c>
      <c r="E257" s="3">
        <v>28</v>
      </c>
      <c r="F257" s="3" t="s">
        <v>39</v>
      </c>
      <c r="G257" s="3" t="s">
        <v>40</v>
      </c>
      <c r="H257" s="3" t="s">
        <v>800</v>
      </c>
      <c r="I257" s="3">
        <v>54493</v>
      </c>
      <c r="J257" s="3" t="s">
        <v>65</v>
      </c>
      <c r="K257" s="3" t="s">
        <v>801</v>
      </c>
      <c r="L257" s="4" t="s">
        <v>21</v>
      </c>
    </row>
    <row r="258" spans="1:12" x14ac:dyDescent="0.3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2" t="s">
        <v>36</v>
      </c>
    </row>
    <row r="259" spans="1:12" x14ac:dyDescent="0.3">
      <c r="A259" s="3" t="s">
        <v>805</v>
      </c>
      <c r="B259" s="3" t="s">
        <v>44</v>
      </c>
      <c r="C259" s="3" t="s">
        <v>95</v>
      </c>
      <c r="D259" s="3" t="s">
        <v>24</v>
      </c>
      <c r="E259" s="3">
        <v>27</v>
      </c>
      <c r="F259" s="3" t="s">
        <v>50</v>
      </c>
      <c r="G259" s="3" t="s">
        <v>26</v>
      </c>
      <c r="H259" s="3" t="s">
        <v>806</v>
      </c>
      <c r="I259" s="3">
        <v>96058</v>
      </c>
      <c r="J259" s="3" t="s">
        <v>19</v>
      </c>
      <c r="K259" s="3" t="s">
        <v>807</v>
      </c>
      <c r="L259" s="4" t="s">
        <v>36</v>
      </c>
    </row>
    <row r="260" spans="1:12" x14ac:dyDescent="0.3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2" t="s">
        <v>21</v>
      </c>
    </row>
    <row r="261" spans="1:12" x14ac:dyDescent="0.3">
      <c r="A261" s="3" t="s">
        <v>811</v>
      </c>
      <c r="B261" s="3" t="s">
        <v>44</v>
      </c>
      <c r="C261" s="3" t="s">
        <v>45</v>
      </c>
      <c r="D261" s="3" t="s">
        <v>24</v>
      </c>
      <c r="E261" s="3">
        <v>35</v>
      </c>
      <c r="F261" s="3" t="s">
        <v>16</v>
      </c>
      <c r="G261" s="3" t="s">
        <v>26</v>
      </c>
      <c r="H261" s="3" t="s">
        <v>213</v>
      </c>
      <c r="I261" s="3">
        <v>69243</v>
      </c>
      <c r="J261" s="3" t="s">
        <v>65</v>
      </c>
      <c r="K261" s="3" t="s">
        <v>812</v>
      </c>
      <c r="L261" s="4" t="s">
        <v>36</v>
      </c>
    </row>
    <row r="262" spans="1:12" x14ac:dyDescent="0.3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2" t="s">
        <v>36</v>
      </c>
    </row>
    <row r="263" spans="1:12" x14ac:dyDescent="0.3">
      <c r="A263" s="3" t="s">
        <v>816</v>
      </c>
      <c r="B263" s="3" t="s">
        <v>54</v>
      </c>
      <c r="C263" s="3" t="s">
        <v>130</v>
      </c>
      <c r="D263" s="3" t="s">
        <v>15</v>
      </c>
      <c r="E263" s="3">
        <v>37</v>
      </c>
      <c r="F263" s="3" t="s">
        <v>16</v>
      </c>
      <c r="G263" s="3" t="s">
        <v>40</v>
      </c>
      <c r="H263" s="3" t="s">
        <v>744</v>
      </c>
      <c r="I263" s="3">
        <v>86841</v>
      </c>
      <c r="J263" s="3" t="s">
        <v>60</v>
      </c>
      <c r="K263" s="3" t="s">
        <v>817</v>
      </c>
      <c r="L263" s="4" t="s">
        <v>36</v>
      </c>
    </row>
    <row r="264" spans="1:12" x14ac:dyDescent="0.3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2" t="s">
        <v>36</v>
      </c>
    </row>
    <row r="265" spans="1:12" x14ac:dyDescent="0.3">
      <c r="A265" s="3" t="s">
        <v>821</v>
      </c>
      <c r="B265" s="3" t="s">
        <v>94</v>
      </c>
      <c r="C265" s="3" t="s">
        <v>130</v>
      </c>
      <c r="D265" s="3" t="s">
        <v>15</v>
      </c>
      <c r="E265" s="3">
        <v>44</v>
      </c>
      <c r="F265" s="3" t="s">
        <v>25</v>
      </c>
      <c r="G265" s="3" t="s">
        <v>17</v>
      </c>
      <c r="H265" s="3" t="s">
        <v>822</v>
      </c>
      <c r="I265" s="3">
        <v>97265</v>
      </c>
      <c r="J265" s="3" t="s">
        <v>19</v>
      </c>
      <c r="K265" s="3" t="s">
        <v>823</v>
      </c>
      <c r="L265" s="4" t="s">
        <v>21</v>
      </c>
    </row>
    <row r="266" spans="1:12" x14ac:dyDescent="0.3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2" t="s">
        <v>21</v>
      </c>
    </row>
    <row r="267" spans="1:12" x14ac:dyDescent="0.3">
      <c r="A267" s="3" t="s">
        <v>827</v>
      </c>
      <c r="B267" s="3" t="s">
        <v>58</v>
      </c>
      <c r="C267" s="3" t="s">
        <v>14</v>
      </c>
      <c r="D267" s="3" t="s">
        <v>24</v>
      </c>
      <c r="E267" s="3">
        <v>45</v>
      </c>
      <c r="F267" s="3" t="s">
        <v>25</v>
      </c>
      <c r="G267" s="3" t="s">
        <v>17</v>
      </c>
      <c r="H267" s="3" t="s">
        <v>828</v>
      </c>
      <c r="I267" s="3">
        <v>85702</v>
      </c>
      <c r="J267" s="3" t="s">
        <v>34</v>
      </c>
      <c r="K267" s="3" t="s">
        <v>829</v>
      </c>
      <c r="L267" s="4" t="s">
        <v>36</v>
      </c>
    </row>
    <row r="268" spans="1:12" x14ac:dyDescent="0.3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2" t="s">
        <v>36</v>
      </c>
    </row>
    <row r="269" spans="1:12" x14ac:dyDescent="0.3">
      <c r="A269" s="3" t="s">
        <v>833</v>
      </c>
      <c r="B269" s="3" t="s">
        <v>44</v>
      </c>
      <c r="C269" s="3" t="s">
        <v>78</v>
      </c>
      <c r="D269" s="3" t="s">
        <v>15</v>
      </c>
      <c r="E269" s="3">
        <v>26</v>
      </c>
      <c r="F269" s="3" t="s">
        <v>31</v>
      </c>
      <c r="G269" s="3" t="s">
        <v>108</v>
      </c>
      <c r="H269" s="3" t="s">
        <v>834</v>
      </c>
      <c r="I269" s="3">
        <v>59385</v>
      </c>
      <c r="J269" s="3" t="s">
        <v>34</v>
      </c>
      <c r="K269" s="3" t="s">
        <v>835</v>
      </c>
      <c r="L269" s="4" t="s">
        <v>21</v>
      </c>
    </row>
    <row r="270" spans="1:12" x14ac:dyDescent="0.3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2" t="s">
        <v>21</v>
      </c>
    </row>
    <row r="271" spans="1:12" x14ac:dyDescent="0.3">
      <c r="A271" s="3" t="s">
        <v>839</v>
      </c>
      <c r="B271" s="3" t="s">
        <v>13</v>
      </c>
      <c r="C271" s="3" t="s">
        <v>83</v>
      </c>
      <c r="D271" s="3" t="s">
        <v>15</v>
      </c>
      <c r="E271" s="3">
        <v>38</v>
      </c>
      <c r="F271" s="3" t="s">
        <v>16</v>
      </c>
      <c r="G271" s="3" t="s">
        <v>17</v>
      </c>
      <c r="H271" s="3" t="s">
        <v>840</v>
      </c>
      <c r="I271" s="3">
        <v>108702</v>
      </c>
      <c r="J271" s="3" t="s">
        <v>60</v>
      </c>
      <c r="K271" s="3" t="s">
        <v>841</v>
      </c>
      <c r="L271" s="4" t="s">
        <v>21</v>
      </c>
    </row>
    <row r="272" spans="1:12" x14ac:dyDescent="0.3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2" t="s">
        <v>21</v>
      </c>
    </row>
    <row r="273" spans="1:12" x14ac:dyDescent="0.3">
      <c r="A273" s="3" t="s">
        <v>845</v>
      </c>
      <c r="B273" s="3" t="s">
        <v>30</v>
      </c>
      <c r="C273" s="3" t="s">
        <v>45</v>
      </c>
      <c r="D273" s="3" t="s">
        <v>24</v>
      </c>
      <c r="E273" s="3">
        <v>44</v>
      </c>
      <c r="F273" s="3" t="s">
        <v>31</v>
      </c>
      <c r="G273" s="3" t="s">
        <v>17</v>
      </c>
      <c r="H273" s="3" t="s">
        <v>846</v>
      </c>
      <c r="I273" s="3">
        <v>71195</v>
      </c>
      <c r="J273" s="3" t="s">
        <v>80</v>
      </c>
      <c r="K273" s="3" t="s">
        <v>847</v>
      </c>
      <c r="L273" s="4" t="s">
        <v>21</v>
      </c>
    </row>
    <row r="274" spans="1:12" x14ac:dyDescent="0.3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2" t="s">
        <v>36</v>
      </c>
    </row>
    <row r="275" spans="1:12" x14ac:dyDescent="0.3">
      <c r="A275" s="3" t="s">
        <v>851</v>
      </c>
      <c r="B275" s="3" t="s">
        <v>94</v>
      </c>
      <c r="C275" s="3" t="s">
        <v>23</v>
      </c>
      <c r="D275" s="3" t="s">
        <v>24</v>
      </c>
      <c r="E275" s="3">
        <v>52</v>
      </c>
      <c r="F275" s="3" t="s">
        <v>50</v>
      </c>
      <c r="G275" s="3" t="s">
        <v>40</v>
      </c>
      <c r="H275" s="3" t="s">
        <v>852</v>
      </c>
      <c r="I275" s="3">
        <v>107267</v>
      </c>
      <c r="J275" s="3" t="s">
        <v>65</v>
      </c>
      <c r="K275" s="3" t="s">
        <v>853</v>
      </c>
      <c r="L275" s="4" t="s">
        <v>36</v>
      </c>
    </row>
    <row r="276" spans="1:12" x14ac:dyDescent="0.3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2" t="s">
        <v>36</v>
      </c>
    </row>
    <row r="277" spans="1:12" x14ac:dyDescent="0.3">
      <c r="A277" s="3" t="s">
        <v>857</v>
      </c>
      <c r="B277" s="3" t="s">
        <v>54</v>
      </c>
      <c r="C277" s="3" t="s">
        <v>23</v>
      </c>
      <c r="D277" s="3" t="s">
        <v>24</v>
      </c>
      <c r="E277" s="3">
        <v>51</v>
      </c>
      <c r="F277" s="3" t="s">
        <v>31</v>
      </c>
      <c r="G277" s="3" t="s">
        <v>40</v>
      </c>
      <c r="H277" s="3" t="s">
        <v>858</v>
      </c>
      <c r="I277" s="3">
        <v>76409</v>
      </c>
      <c r="J277" s="3" t="s">
        <v>34</v>
      </c>
      <c r="K277" s="3" t="s">
        <v>859</v>
      </c>
      <c r="L277" s="4" t="s">
        <v>36</v>
      </c>
    </row>
    <row r="278" spans="1:12" x14ac:dyDescent="0.3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2" t="s">
        <v>36</v>
      </c>
    </row>
    <row r="279" spans="1:12" x14ac:dyDescent="0.3">
      <c r="A279" s="3" t="s">
        <v>863</v>
      </c>
      <c r="B279" s="3" t="s">
        <v>49</v>
      </c>
      <c r="C279" s="3" t="s">
        <v>95</v>
      </c>
      <c r="D279" s="3" t="s">
        <v>15</v>
      </c>
      <c r="E279" s="3">
        <v>28</v>
      </c>
      <c r="F279" s="3" t="s">
        <v>16</v>
      </c>
      <c r="G279" s="3" t="s">
        <v>32</v>
      </c>
      <c r="H279" s="3" t="s">
        <v>864</v>
      </c>
      <c r="I279" s="3">
        <v>92548</v>
      </c>
      <c r="J279" s="3" t="s">
        <v>19</v>
      </c>
      <c r="K279" s="3" t="s">
        <v>865</v>
      </c>
      <c r="L279" s="4" t="s">
        <v>36</v>
      </c>
    </row>
    <row r="280" spans="1:12" x14ac:dyDescent="0.3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2" t="s">
        <v>21</v>
      </c>
    </row>
    <row r="281" spans="1:12" x14ac:dyDescent="0.3">
      <c r="A281" s="3" t="s">
        <v>869</v>
      </c>
      <c r="B281" s="3" t="s">
        <v>49</v>
      </c>
      <c r="C281" s="3" t="s">
        <v>130</v>
      </c>
      <c r="D281" s="3" t="s">
        <v>15</v>
      </c>
      <c r="E281" s="3">
        <v>60</v>
      </c>
      <c r="F281" s="3" t="s">
        <v>25</v>
      </c>
      <c r="G281" s="3" t="s">
        <v>17</v>
      </c>
      <c r="H281" s="3" t="s">
        <v>870</v>
      </c>
      <c r="I281" s="3">
        <v>40802</v>
      </c>
      <c r="J281" s="3" t="s">
        <v>80</v>
      </c>
      <c r="K281" s="3" t="s">
        <v>871</v>
      </c>
      <c r="L281" s="4" t="s">
        <v>21</v>
      </c>
    </row>
    <row r="282" spans="1:12" x14ac:dyDescent="0.3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2" t="s">
        <v>36</v>
      </c>
    </row>
    <row r="283" spans="1:12" x14ac:dyDescent="0.3">
      <c r="A283" s="3" t="s">
        <v>875</v>
      </c>
      <c r="B283" s="3" t="s">
        <v>143</v>
      </c>
      <c r="C283" s="3" t="s">
        <v>95</v>
      </c>
      <c r="D283" s="3" t="s">
        <v>24</v>
      </c>
      <c r="E283" s="3">
        <v>26</v>
      </c>
      <c r="F283" s="3" t="s">
        <v>31</v>
      </c>
      <c r="G283" s="3" t="s">
        <v>32</v>
      </c>
      <c r="H283" s="3" t="s">
        <v>876</v>
      </c>
      <c r="I283" s="3">
        <v>48830</v>
      </c>
      <c r="J283" s="3" t="s">
        <v>65</v>
      </c>
      <c r="K283" s="3" t="s">
        <v>877</v>
      </c>
      <c r="L283" s="4" t="s">
        <v>21</v>
      </c>
    </row>
    <row r="284" spans="1:12" x14ac:dyDescent="0.3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2" t="s">
        <v>36</v>
      </c>
    </row>
    <row r="285" spans="1:12" x14ac:dyDescent="0.3">
      <c r="A285" s="3" t="s">
        <v>881</v>
      </c>
      <c r="B285" s="3" t="s">
        <v>44</v>
      </c>
      <c r="C285" s="3" t="s">
        <v>95</v>
      </c>
      <c r="D285" s="3" t="s">
        <v>24</v>
      </c>
      <c r="E285" s="3">
        <v>43</v>
      </c>
      <c r="F285" s="3" t="s">
        <v>39</v>
      </c>
      <c r="G285" s="3" t="s">
        <v>40</v>
      </c>
      <c r="H285" s="3" t="s">
        <v>216</v>
      </c>
      <c r="I285" s="3">
        <v>44771</v>
      </c>
      <c r="J285" s="3" t="s">
        <v>65</v>
      </c>
      <c r="K285" s="3" t="s">
        <v>882</v>
      </c>
      <c r="L285" s="4" t="s">
        <v>21</v>
      </c>
    </row>
    <row r="286" spans="1:12" x14ac:dyDescent="0.3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2" t="s">
        <v>36</v>
      </c>
    </row>
    <row r="287" spans="1:12" x14ac:dyDescent="0.3">
      <c r="A287" s="3" t="s">
        <v>886</v>
      </c>
      <c r="B287" s="3" t="s">
        <v>71</v>
      </c>
      <c r="C287" s="3" t="s">
        <v>45</v>
      </c>
      <c r="D287" s="3" t="s">
        <v>15</v>
      </c>
      <c r="E287" s="3">
        <v>47</v>
      </c>
      <c r="F287" s="3" t="s">
        <v>31</v>
      </c>
      <c r="G287" s="3" t="s">
        <v>26</v>
      </c>
      <c r="H287" s="3" t="s">
        <v>887</v>
      </c>
      <c r="I287" s="3">
        <v>106837</v>
      </c>
      <c r="J287" s="3" t="s">
        <v>80</v>
      </c>
      <c r="K287" s="3" t="s">
        <v>888</v>
      </c>
      <c r="L287" s="4" t="s">
        <v>36</v>
      </c>
    </row>
    <row r="288" spans="1:12" x14ac:dyDescent="0.3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2" t="s">
        <v>36</v>
      </c>
    </row>
    <row r="289" spans="1:12" x14ac:dyDescent="0.3">
      <c r="A289" s="3" t="s">
        <v>892</v>
      </c>
      <c r="B289" s="3" t="s">
        <v>54</v>
      </c>
      <c r="C289" s="3" t="s">
        <v>95</v>
      </c>
      <c r="D289" s="3" t="s">
        <v>15</v>
      </c>
      <c r="E289" s="3">
        <v>52</v>
      </c>
      <c r="F289" s="3" t="s">
        <v>31</v>
      </c>
      <c r="G289" s="3" t="s">
        <v>108</v>
      </c>
      <c r="H289" s="3" t="s">
        <v>893</v>
      </c>
      <c r="I289" s="3">
        <v>42401</v>
      </c>
      <c r="J289" s="3" t="s">
        <v>65</v>
      </c>
      <c r="K289" s="3" t="s">
        <v>894</v>
      </c>
      <c r="L289" s="4" t="s">
        <v>36</v>
      </c>
    </row>
    <row r="290" spans="1:12" x14ac:dyDescent="0.3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2" t="s">
        <v>21</v>
      </c>
    </row>
    <row r="291" spans="1:12" x14ac:dyDescent="0.3">
      <c r="A291" s="3" t="s">
        <v>898</v>
      </c>
      <c r="B291" s="3" t="s">
        <v>94</v>
      </c>
      <c r="C291" s="3" t="s">
        <v>63</v>
      </c>
      <c r="D291" s="3" t="s">
        <v>24</v>
      </c>
      <c r="E291" s="3">
        <v>43</v>
      </c>
      <c r="F291" s="3" t="s">
        <v>39</v>
      </c>
      <c r="G291" s="3" t="s">
        <v>17</v>
      </c>
      <c r="H291" s="3" t="s">
        <v>899</v>
      </c>
      <c r="I291" s="3">
        <v>55436</v>
      </c>
      <c r="J291" s="3" t="s">
        <v>80</v>
      </c>
      <c r="K291" s="3" t="s">
        <v>900</v>
      </c>
      <c r="L291" s="4" t="s">
        <v>21</v>
      </c>
    </row>
    <row r="292" spans="1:12" x14ac:dyDescent="0.3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2" t="s">
        <v>36</v>
      </c>
    </row>
    <row r="293" spans="1:12" x14ac:dyDescent="0.3">
      <c r="A293" s="3" t="s">
        <v>904</v>
      </c>
      <c r="B293" s="3" t="s">
        <v>143</v>
      </c>
      <c r="C293" s="3" t="s">
        <v>130</v>
      </c>
      <c r="D293" s="3" t="s">
        <v>24</v>
      </c>
      <c r="E293" s="3">
        <v>24</v>
      </c>
      <c r="F293" s="3" t="s">
        <v>39</v>
      </c>
      <c r="G293" s="3" t="s">
        <v>26</v>
      </c>
      <c r="H293" s="3" t="s">
        <v>905</v>
      </c>
      <c r="I293" s="3">
        <v>83157</v>
      </c>
      <c r="J293" s="3" t="s">
        <v>19</v>
      </c>
      <c r="K293" s="3" t="s">
        <v>906</v>
      </c>
      <c r="L293" s="4" t="s">
        <v>36</v>
      </c>
    </row>
    <row r="294" spans="1:12" x14ac:dyDescent="0.3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2" t="s">
        <v>21</v>
      </c>
    </row>
    <row r="295" spans="1:12" x14ac:dyDescent="0.3">
      <c r="A295" s="3" t="s">
        <v>910</v>
      </c>
      <c r="B295" s="3" t="s">
        <v>13</v>
      </c>
      <c r="C295" s="3" t="s">
        <v>45</v>
      </c>
      <c r="D295" s="3" t="s">
        <v>24</v>
      </c>
      <c r="E295" s="3">
        <v>40</v>
      </c>
      <c r="F295" s="3" t="s">
        <v>25</v>
      </c>
      <c r="G295" s="3" t="s">
        <v>40</v>
      </c>
      <c r="H295" s="3" t="s">
        <v>911</v>
      </c>
      <c r="I295" s="3">
        <v>89213</v>
      </c>
      <c r="J295" s="3" t="s">
        <v>34</v>
      </c>
      <c r="K295" s="3" t="s">
        <v>912</v>
      </c>
      <c r="L295" s="4" t="s">
        <v>21</v>
      </c>
    </row>
    <row r="296" spans="1:12" x14ac:dyDescent="0.3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2" t="s">
        <v>36</v>
      </c>
    </row>
    <row r="297" spans="1:12" x14ac:dyDescent="0.3">
      <c r="A297" s="3" t="s">
        <v>916</v>
      </c>
      <c r="B297" s="3" t="s">
        <v>30</v>
      </c>
      <c r="C297" s="3" t="s">
        <v>95</v>
      </c>
      <c r="D297" s="3" t="s">
        <v>15</v>
      </c>
      <c r="E297" s="3">
        <v>33</v>
      </c>
      <c r="F297" s="3" t="s">
        <v>25</v>
      </c>
      <c r="G297" s="3" t="s">
        <v>26</v>
      </c>
      <c r="H297" s="3" t="s">
        <v>917</v>
      </c>
      <c r="I297" s="3">
        <v>88151</v>
      </c>
      <c r="J297" s="3" t="s">
        <v>80</v>
      </c>
      <c r="K297" s="3" t="s">
        <v>918</v>
      </c>
      <c r="L297" s="4" t="s">
        <v>36</v>
      </c>
    </row>
    <row r="298" spans="1:12" x14ac:dyDescent="0.3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2" t="s">
        <v>36</v>
      </c>
    </row>
    <row r="299" spans="1:12" x14ac:dyDescent="0.3">
      <c r="A299" s="3" t="s">
        <v>922</v>
      </c>
      <c r="B299" s="3" t="s">
        <v>71</v>
      </c>
      <c r="C299" s="3" t="s">
        <v>14</v>
      </c>
      <c r="D299" s="3" t="s">
        <v>15</v>
      </c>
      <c r="E299" s="3">
        <v>39</v>
      </c>
      <c r="F299" s="3" t="s">
        <v>16</v>
      </c>
      <c r="G299" s="3" t="s">
        <v>40</v>
      </c>
      <c r="H299" s="3" t="s">
        <v>923</v>
      </c>
      <c r="I299" s="3">
        <v>55507</v>
      </c>
      <c r="J299" s="3" t="s">
        <v>80</v>
      </c>
      <c r="K299" s="3" t="s">
        <v>924</v>
      </c>
      <c r="L299" s="4" t="s">
        <v>21</v>
      </c>
    </row>
    <row r="300" spans="1:12" x14ac:dyDescent="0.3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2" t="s">
        <v>21</v>
      </c>
    </row>
    <row r="301" spans="1:12" x14ac:dyDescent="0.3">
      <c r="A301" s="3" t="s">
        <v>928</v>
      </c>
      <c r="B301" s="3" t="s">
        <v>44</v>
      </c>
      <c r="C301" s="3" t="s">
        <v>78</v>
      </c>
      <c r="D301" s="3" t="s">
        <v>15</v>
      </c>
      <c r="E301" s="3">
        <v>51</v>
      </c>
      <c r="F301" s="3" t="s">
        <v>16</v>
      </c>
      <c r="G301" s="3" t="s">
        <v>108</v>
      </c>
      <c r="H301" s="3" t="s">
        <v>929</v>
      </c>
      <c r="I301" s="3">
        <v>43356</v>
      </c>
      <c r="J301" s="3" t="s">
        <v>65</v>
      </c>
      <c r="K301" s="3" t="s">
        <v>930</v>
      </c>
      <c r="L301" s="4" t="s">
        <v>21</v>
      </c>
    </row>
    <row r="302" spans="1:12" x14ac:dyDescent="0.3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2" t="s">
        <v>21</v>
      </c>
    </row>
    <row r="303" spans="1:12" x14ac:dyDescent="0.3">
      <c r="A303" s="3" t="s">
        <v>934</v>
      </c>
      <c r="B303" s="3" t="s">
        <v>44</v>
      </c>
      <c r="C303" s="3" t="s">
        <v>23</v>
      </c>
      <c r="D303" s="3" t="s">
        <v>15</v>
      </c>
      <c r="E303" s="3">
        <v>23</v>
      </c>
      <c r="F303" s="3" t="s">
        <v>39</v>
      </c>
      <c r="G303" s="3" t="s">
        <v>40</v>
      </c>
      <c r="H303" s="3" t="s">
        <v>415</v>
      </c>
      <c r="I303" s="3">
        <v>79670</v>
      </c>
      <c r="J303" s="3" t="s">
        <v>80</v>
      </c>
      <c r="K303" s="3" t="s">
        <v>935</v>
      </c>
      <c r="L303" s="4" t="s">
        <v>36</v>
      </c>
    </row>
    <row r="304" spans="1:12" x14ac:dyDescent="0.3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2" t="s">
        <v>36</v>
      </c>
    </row>
    <row r="305" spans="1:12" x14ac:dyDescent="0.3">
      <c r="A305" s="3" t="s">
        <v>939</v>
      </c>
      <c r="B305" s="3" t="s">
        <v>143</v>
      </c>
      <c r="C305" s="3" t="s">
        <v>95</v>
      </c>
      <c r="D305" s="3" t="s">
        <v>15</v>
      </c>
      <c r="E305" s="3">
        <v>25</v>
      </c>
      <c r="F305" s="3" t="s">
        <v>25</v>
      </c>
      <c r="G305" s="3" t="s">
        <v>108</v>
      </c>
      <c r="H305" s="3" t="s">
        <v>940</v>
      </c>
      <c r="I305" s="3">
        <v>76975</v>
      </c>
      <c r="J305" s="3" t="s">
        <v>34</v>
      </c>
      <c r="K305" s="3" t="s">
        <v>941</v>
      </c>
      <c r="L305" s="4" t="s">
        <v>21</v>
      </c>
    </row>
    <row r="306" spans="1:12" x14ac:dyDescent="0.3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2" t="s">
        <v>21</v>
      </c>
    </row>
    <row r="307" spans="1:12" x14ac:dyDescent="0.3">
      <c r="A307" s="3" t="s">
        <v>945</v>
      </c>
      <c r="B307" s="3" t="s">
        <v>58</v>
      </c>
      <c r="C307" s="3" t="s">
        <v>130</v>
      </c>
      <c r="D307" s="3" t="s">
        <v>15</v>
      </c>
      <c r="E307" s="3">
        <v>22</v>
      </c>
      <c r="F307" s="3" t="s">
        <v>16</v>
      </c>
      <c r="G307" s="3" t="s">
        <v>108</v>
      </c>
      <c r="H307" s="3" t="s">
        <v>946</v>
      </c>
      <c r="I307" s="3">
        <v>89336</v>
      </c>
      <c r="J307" s="3" t="s">
        <v>65</v>
      </c>
      <c r="K307" s="3" t="s">
        <v>947</v>
      </c>
      <c r="L307" s="4" t="s">
        <v>21</v>
      </c>
    </row>
    <row r="308" spans="1:12" x14ac:dyDescent="0.3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2" t="s">
        <v>36</v>
      </c>
    </row>
    <row r="309" spans="1:12" x14ac:dyDescent="0.3">
      <c r="A309" s="3" t="s">
        <v>951</v>
      </c>
      <c r="B309" s="3" t="s">
        <v>49</v>
      </c>
      <c r="C309" s="3" t="s">
        <v>83</v>
      </c>
      <c r="D309" s="3" t="s">
        <v>24</v>
      </c>
      <c r="E309" s="3">
        <v>45</v>
      </c>
      <c r="F309" s="3" t="s">
        <v>50</v>
      </c>
      <c r="G309" s="3" t="s">
        <v>17</v>
      </c>
      <c r="H309" s="3" t="s">
        <v>952</v>
      </c>
      <c r="I309" s="3">
        <v>74751</v>
      </c>
      <c r="J309" s="3" t="s">
        <v>60</v>
      </c>
      <c r="K309" s="3" t="s">
        <v>953</v>
      </c>
      <c r="L309" s="4" t="s">
        <v>21</v>
      </c>
    </row>
    <row r="310" spans="1:12" x14ac:dyDescent="0.3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2" t="s">
        <v>21</v>
      </c>
    </row>
    <row r="311" spans="1:12" x14ac:dyDescent="0.3">
      <c r="A311" s="3" t="s">
        <v>956</v>
      </c>
      <c r="B311" s="3" t="s">
        <v>54</v>
      </c>
      <c r="C311" s="3" t="s">
        <v>63</v>
      </c>
      <c r="D311" s="3" t="s">
        <v>15</v>
      </c>
      <c r="E311" s="3">
        <v>55</v>
      </c>
      <c r="F311" s="3" t="s">
        <v>39</v>
      </c>
      <c r="G311" s="3" t="s">
        <v>26</v>
      </c>
      <c r="H311" s="3" t="s">
        <v>957</v>
      </c>
      <c r="I311" s="3">
        <v>98004</v>
      </c>
      <c r="J311" s="3" t="s">
        <v>60</v>
      </c>
      <c r="K311" s="3" t="s">
        <v>958</v>
      </c>
      <c r="L311" s="4" t="s">
        <v>36</v>
      </c>
    </row>
    <row r="312" spans="1:12" x14ac:dyDescent="0.3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2" t="s">
        <v>21</v>
      </c>
    </row>
    <row r="313" spans="1:12" x14ac:dyDescent="0.3">
      <c r="A313" s="3" t="s">
        <v>961</v>
      </c>
      <c r="B313" s="3" t="s">
        <v>143</v>
      </c>
      <c r="C313" s="3" t="s">
        <v>165</v>
      </c>
      <c r="D313" s="3" t="s">
        <v>24</v>
      </c>
      <c r="E313" s="3">
        <v>47</v>
      </c>
      <c r="F313" s="3" t="s">
        <v>31</v>
      </c>
      <c r="G313" s="3" t="s">
        <v>32</v>
      </c>
      <c r="H313" s="3" t="s">
        <v>962</v>
      </c>
      <c r="I313" s="3">
        <v>105072</v>
      </c>
      <c r="J313" s="3" t="s">
        <v>34</v>
      </c>
      <c r="K313" s="3" t="s">
        <v>963</v>
      </c>
      <c r="L313" s="4" t="s">
        <v>36</v>
      </c>
    </row>
    <row r="314" spans="1:12" x14ac:dyDescent="0.3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2" t="s">
        <v>36</v>
      </c>
    </row>
    <row r="315" spans="1:12" x14ac:dyDescent="0.3">
      <c r="A315" s="3" t="s">
        <v>967</v>
      </c>
      <c r="B315" s="3" t="s">
        <v>30</v>
      </c>
      <c r="C315" s="3" t="s">
        <v>23</v>
      </c>
      <c r="D315" s="3" t="s">
        <v>15</v>
      </c>
      <c r="E315" s="3">
        <v>58</v>
      </c>
      <c r="F315" s="3" t="s">
        <v>50</v>
      </c>
      <c r="G315" s="3" t="s">
        <v>17</v>
      </c>
      <c r="H315" s="3" t="s">
        <v>968</v>
      </c>
      <c r="I315" s="3">
        <v>48029</v>
      </c>
      <c r="J315" s="3" t="s">
        <v>34</v>
      </c>
      <c r="K315" s="3" t="s">
        <v>969</v>
      </c>
      <c r="L315" s="4" t="s">
        <v>21</v>
      </c>
    </row>
    <row r="316" spans="1:12" x14ac:dyDescent="0.3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2" t="s">
        <v>21</v>
      </c>
    </row>
    <row r="317" spans="1:12" x14ac:dyDescent="0.3">
      <c r="A317" s="3" t="s">
        <v>973</v>
      </c>
      <c r="B317" s="3" t="s">
        <v>54</v>
      </c>
      <c r="C317" s="3" t="s">
        <v>130</v>
      </c>
      <c r="D317" s="3" t="s">
        <v>15</v>
      </c>
      <c r="E317" s="3">
        <v>41</v>
      </c>
      <c r="F317" s="3" t="s">
        <v>39</v>
      </c>
      <c r="G317" s="3" t="s">
        <v>40</v>
      </c>
      <c r="H317" s="3" t="s">
        <v>974</v>
      </c>
      <c r="I317" s="3">
        <v>41158</v>
      </c>
      <c r="J317" s="3" t="s">
        <v>19</v>
      </c>
      <c r="K317" s="3" t="s">
        <v>975</v>
      </c>
      <c r="L317" s="4" t="s">
        <v>36</v>
      </c>
    </row>
    <row r="318" spans="1:12" x14ac:dyDescent="0.3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2" t="s">
        <v>36</v>
      </c>
    </row>
    <row r="319" spans="1:12" x14ac:dyDescent="0.3">
      <c r="A319" s="3" t="s">
        <v>979</v>
      </c>
      <c r="B319" s="3" t="s">
        <v>143</v>
      </c>
      <c r="C319" s="3" t="s">
        <v>130</v>
      </c>
      <c r="D319" s="3" t="s">
        <v>15</v>
      </c>
      <c r="E319" s="3">
        <v>24</v>
      </c>
      <c r="F319" s="3" t="s">
        <v>31</v>
      </c>
      <c r="G319" s="3" t="s">
        <v>26</v>
      </c>
      <c r="H319" s="3" t="s">
        <v>980</v>
      </c>
      <c r="I319" s="3">
        <v>56782</v>
      </c>
      <c r="J319" s="3" t="s">
        <v>34</v>
      </c>
      <c r="K319" s="3" t="s">
        <v>981</v>
      </c>
      <c r="L319" s="4" t="s">
        <v>21</v>
      </c>
    </row>
    <row r="320" spans="1:12" x14ac:dyDescent="0.3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2" t="s">
        <v>36</v>
      </c>
    </row>
    <row r="321" spans="1:12" x14ac:dyDescent="0.3">
      <c r="A321" s="3" t="s">
        <v>985</v>
      </c>
      <c r="B321" s="3" t="s">
        <v>38</v>
      </c>
      <c r="C321" s="3" t="s">
        <v>83</v>
      </c>
      <c r="D321" s="3" t="s">
        <v>15</v>
      </c>
      <c r="E321" s="3">
        <v>37</v>
      </c>
      <c r="F321" s="3" t="s">
        <v>16</v>
      </c>
      <c r="G321" s="3" t="s">
        <v>40</v>
      </c>
      <c r="H321" s="3" t="s">
        <v>475</v>
      </c>
      <c r="I321" s="3">
        <v>104915</v>
      </c>
      <c r="J321" s="3" t="s">
        <v>80</v>
      </c>
      <c r="K321" s="3" t="s">
        <v>986</v>
      </c>
      <c r="L321" s="4" t="s">
        <v>36</v>
      </c>
    </row>
    <row r="322" spans="1:12" x14ac:dyDescent="0.3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2" t="s">
        <v>36</v>
      </c>
    </row>
    <row r="323" spans="1:12" x14ac:dyDescent="0.3">
      <c r="A323" s="3" t="s">
        <v>990</v>
      </c>
      <c r="B323" s="3" t="s">
        <v>58</v>
      </c>
      <c r="C323" s="3" t="s">
        <v>130</v>
      </c>
      <c r="D323" s="3" t="s">
        <v>15</v>
      </c>
      <c r="E323" s="3">
        <v>49</v>
      </c>
      <c r="F323" s="3" t="s">
        <v>39</v>
      </c>
      <c r="G323" s="3" t="s">
        <v>32</v>
      </c>
      <c r="H323" s="3" t="s">
        <v>991</v>
      </c>
      <c r="I323" s="3">
        <v>52338</v>
      </c>
      <c r="J323" s="3" t="s">
        <v>60</v>
      </c>
      <c r="K323" s="3" t="s">
        <v>992</v>
      </c>
      <c r="L323" s="4" t="s">
        <v>36</v>
      </c>
    </row>
    <row r="324" spans="1:12" x14ac:dyDescent="0.3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2" t="s">
        <v>36</v>
      </c>
    </row>
    <row r="325" spans="1:12" x14ac:dyDescent="0.3">
      <c r="A325" s="3" t="s">
        <v>996</v>
      </c>
      <c r="B325" s="3" t="s">
        <v>38</v>
      </c>
      <c r="C325" s="3" t="s">
        <v>45</v>
      </c>
      <c r="D325" s="3" t="s">
        <v>24</v>
      </c>
      <c r="E325" s="3">
        <v>44</v>
      </c>
      <c r="F325" s="3" t="s">
        <v>39</v>
      </c>
      <c r="G325" s="3" t="s">
        <v>32</v>
      </c>
      <c r="H325" s="3" t="s">
        <v>997</v>
      </c>
      <c r="I325" s="3">
        <v>80403</v>
      </c>
      <c r="J325" s="3" t="s">
        <v>60</v>
      </c>
      <c r="K325" s="3" t="s">
        <v>998</v>
      </c>
      <c r="L325" s="4" t="s">
        <v>21</v>
      </c>
    </row>
    <row r="326" spans="1:12" x14ac:dyDescent="0.3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2" t="s">
        <v>36</v>
      </c>
    </row>
    <row r="327" spans="1:12" x14ac:dyDescent="0.3">
      <c r="A327" s="3" t="s">
        <v>1002</v>
      </c>
      <c r="B327" s="3" t="s">
        <v>13</v>
      </c>
      <c r="C327" s="3" t="s">
        <v>165</v>
      </c>
      <c r="D327" s="3" t="s">
        <v>24</v>
      </c>
      <c r="E327" s="3">
        <v>46</v>
      </c>
      <c r="F327" s="3" t="s">
        <v>39</v>
      </c>
      <c r="G327" s="3" t="s">
        <v>108</v>
      </c>
      <c r="H327" s="3" t="s">
        <v>1003</v>
      </c>
      <c r="I327" s="3">
        <v>89841</v>
      </c>
      <c r="J327" s="3" t="s">
        <v>80</v>
      </c>
      <c r="K327" s="3" t="s">
        <v>1004</v>
      </c>
      <c r="L327" s="4" t="s">
        <v>21</v>
      </c>
    </row>
    <row r="328" spans="1:12" x14ac:dyDescent="0.3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2" t="s">
        <v>21</v>
      </c>
    </row>
    <row r="329" spans="1:12" x14ac:dyDescent="0.3">
      <c r="A329" s="3" t="s">
        <v>1008</v>
      </c>
      <c r="B329" s="3" t="s">
        <v>54</v>
      </c>
      <c r="C329" s="3" t="s">
        <v>23</v>
      </c>
      <c r="D329" s="3" t="s">
        <v>24</v>
      </c>
      <c r="E329" s="3">
        <v>39</v>
      </c>
      <c r="F329" s="3" t="s">
        <v>16</v>
      </c>
      <c r="G329" s="3" t="s">
        <v>108</v>
      </c>
      <c r="H329" s="3" t="s">
        <v>1009</v>
      </c>
      <c r="I329" s="3">
        <v>91433</v>
      </c>
      <c r="J329" s="3" t="s">
        <v>80</v>
      </c>
      <c r="K329" s="3" t="s">
        <v>1010</v>
      </c>
      <c r="L329" s="4" t="s">
        <v>36</v>
      </c>
    </row>
    <row r="330" spans="1:12" x14ac:dyDescent="0.3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2" t="s">
        <v>21</v>
      </c>
    </row>
    <row r="331" spans="1:12" x14ac:dyDescent="0.3">
      <c r="A331" s="3" t="s">
        <v>1014</v>
      </c>
      <c r="B331" s="3" t="s">
        <v>13</v>
      </c>
      <c r="C331" s="3" t="s">
        <v>45</v>
      </c>
      <c r="D331" s="3" t="s">
        <v>15</v>
      </c>
      <c r="E331" s="3">
        <v>56</v>
      </c>
      <c r="F331" s="3" t="s">
        <v>50</v>
      </c>
      <c r="G331" s="3" t="s">
        <v>17</v>
      </c>
      <c r="H331" s="3" t="s">
        <v>1015</v>
      </c>
      <c r="I331" s="3">
        <v>68036</v>
      </c>
      <c r="J331" s="3" t="s">
        <v>80</v>
      </c>
      <c r="K331" s="3" t="s">
        <v>1016</v>
      </c>
      <c r="L331" s="4" t="s">
        <v>36</v>
      </c>
    </row>
    <row r="332" spans="1:12" x14ac:dyDescent="0.3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2" t="s">
        <v>36</v>
      </c>
    </row>
    <row r="333" spans="1:12" x14ac:dyDescent="0.3">
      <c r="A333" s="3" t="s">
        <v>1020</v>
      </c>
      <c r="B333" s="3" t="s">
        <v>143</v>
      </c>
      <c r="C333" s="3" t="s">
        <v>63</v>
      </c>
      <c r="D333" s="3" t="s">
        <v>15</v>
      </c>
      <c r="E333" s="3">
        <v>26</v>
      </c>
      <c r="F333" s="3" t="s">
        <v>16</v>
      </c>
      <c r="G333" s="3" t="s">
        <v>108</v>
      </c>
      <c r="H333" s="3" t="s">
        <v>510</v>
      </c>
      <c r="I333" s="3">
        <v>47221</v>
      </c>
      <c r="J333" s="3" t="s">
        <v>60</v>
      </c>
      <c r="K333" s="3" t="s">
        <v>1021</v>
      </c>
      <c r="L333" s="4" t="s">
        <v>36</v>
      </c>
    </row>
    <row r="334" spans="1:12" x14ac:dyDescent="0.3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2" t="s">
        <v>21</v>
      </c>
    </row>
    <row r="335" spans="1:12" x14ac:dyDescent="0.3">
      <c r="A335" s="3" t="s">
        <v>1025</v>
      </c>
      <c r="B335" s="3" t="s">
        <v>38</v>
      </c>
      <c r="C335" s="3" t="s">
        <v>83</v>
      </c>
      <c r="D335" s="3" t="s">
        <v>15</v>
      </c>
      <c r="E335" s="3">
        <v>46</v>
      </c>
      <c r="F335" s="3" t="s">
        <v>50</v>
      </c>
      <c r="G335" s="3" t="s">
        <v>17</v>
      </c>
      <c r="H335" s="3" t="s">
        <v>1026</v>
      </c>
      <c r="I335" s="3">
        <v>104179</v>
      </c>
      <c r="J335" s="3" t="s">
        <v>34</v>
      </c>
      <c r="K335" s="3" t="s">
        <v>1027</v>
      </c>
      <c r="L335" s="4" t="s">
        <v>36</v>
      </c>
    </row>
    <row r="336" spans="1:12" x14ac:dyDescent="0.3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2" t="s">
        <v>21</v>
      </c>
    </row>
    <row r="337" spans="1:12" x14ac:dyDescent="0.3">
      <c r="A337" s="3" t="s">
        <v>1031</v>
      </c>
      <c r="B337" s="3" t="s">
        <v>58</v>
      </c>
      <c r="C337" s="3" t="s">
        <v>90</v>
      </c>
      <c r="D337" s="3" t="s">
        <v>24</v>
      </c>
      <c r="E337" s="3">
        <v>47</v>
      </c>
      <c r="F337" s="3" t="s">
        <v>39</v>
      </c>
      <c r="G337" s="3" t="s">
        <v>40</v>
      </c>
      <c r="H337" s="3" t="s">
        <v>1032</v>
      </c>
      <c r="I337" s="3">
        <v>39091</v>
      </c>
      <c r="J337" s="3" t="s">
        <v>80</v>
      </c>
      <c r="K337" s="3" t="s">
        <v>1033</v>
      </c>
      <c r="L337" s="4" t="s">
        <v>21</v>
      </c>
    </row>
    <row r="338" spans="1:12" x14ac:dyDescent="0.3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2" t="s">
        <v>36</v>
      </c>
    </row>
    <row r="339" spans="1:12" x14ac:dyDescent="0.3">
      <c r="A339" s="3" t="s">
        <v>1037</v>
      </c>
      <c r="B339" s="3" t="s">
        <v>143</v>
      </c>
      <c r="C339" s="3" t="s">
        <v>78</v>
      </c>
      <c r="D339" s="3" t="s">
        <v>15</v>
      </c>
      <c r="E339" s="3">
        <v>57</v>
      </c>
      <c r="F339" s="3" t="s">
        <v>25</v>
      </c>
      <c r="G339" s="3" t="s">
        <v>40</v>
      </c>
      <c r="H339" s="3" t="s">
        <v>1038</v>
      </c>
      <c r="I339" s="3">
        <v>62199</v>
      </c>
      <c r="J339" s="3" t="s">
        <v>60</v>
      </c>
      <c r="K339" s="3" t="s">
        <v>1039</v>
      </c>
      <c r="L339" s="4" t="s">
        <v>21</v>
      </c>
    </row>
    <row r="340" spans="1:12" x14ac:dyDescent="0.3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2" t="s">
        <v>21</v>
      </c>
    </row>
    <row r="341" spans="1:12" x14ac:dyDescent="0.3">
      <c r="A341" s="3" t="s">
        <v>1043</v>
      </c>
      <c r="B341" s="3" t="s">
        <v>94</v>
      </c>
      <c r="C341" s="3" t="s">
        <v>45</v>
      </c>
      <c r="D341" s="3" t="s">
        <v>15</v>
      </c>
      <c r="E341" s="3">
        <v>38</v>
      </c>
      <c r="F341" s="3" t="s">
        <v>25</v>
      </c>
      <c r="G341" s="3" t="s">
        <v>108</v>
      </c>
      <c r="H341" s="3" t="s">
        <v>1044</v>
      </c>
      <c r="I341" s="3">
        <v>64542</v>
      </c>
      <c r="J341" s="3" t="s">
        <v>65</v>
      </c>
      <c r="K341" s="3" t="s">
        <v>1045</v>
      </c>
      <c r="L341" s="4" t="s">
        <v>21</v>
      </c>
    </row>
    <row r="342" spans="1:12" x14ac:dyDescent="0.3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2" t="s">
        <v>21</v>
      </c>
    </row>
    <row r="343" spans="1:12" x14ac:dyDescent="0.3">
      <c r="A343" s="3" t="s">
        <v>1049</v>
      </c>
      <c r="B343" s="3" t="s">
        <v>30</v>
      </c>
      <c r="C343" s="3" t="s">
        <v>83</v>
      </c>
      <c r="D343" s="3" t="s">
        <v>24</v>
      </c>
      <c r="E343" s="3">
        <v>25</v>
      </c>
      <c r="F343" s="3" t="s">
        <v>16</v>
      </c>
      <c r="G343" s="3" t="s">
        <v>108</v>
      </c>
      <c r="H343" s="3" t="s">
        <v>1050</v>
      </c>
      <c r="I343" s="3">
        <v>101879</v>
      </c>
      <c r="J343" s="3" t="s">
        <v>19</v>
      </c>
      <c r="K343" s="3" t="s">
        <v>1051</v>
      </c>
      <c r="L343" s="4" t="s">
        <v>21</v>
      </c>
    </row>
    <row r="344" spans="1:12" x14ac:dyDescent="0.3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2" t="s">
        <v>21</v>
      </c>
    </row>
    <row r="345" spans="1:12" x14ac:dyDescent="0.3">
      <c r="A345" s="3" t="s">
        <v>1055</v>
      </c>
      <c r="B345" s="3" t="s">
        <v>30</v>
      </c>
      <c r="C345" s="3" t="s">
        <v>95</v>
      </c>
      <c r="D345" s="3" t="s">
        <v>15</v>
      </c>
      <c r="E345" s="3">
        <v>33</v>
      </c>
      <c r="F345" s="3" t="s">
        <v>16</v>
      </c>
      <c r="G345" s="3" t="s">
        <v>108</v>
      </c>
      <c r="H345" s="3" t="s">
        <v>1056</v>
      </c>
      <c r="I345" s="3">
        <v>43206</v>
      </c>
      <c r="J345" s="3" t="s">
        <v>65</v>
      </c>
      <c r="K345" s="3" t="s">
        <v>1057</v>
      </c>
      <c r="L345" s="4" t="s">
        <v>36</v>
      </c>
    </row>
    <row r="346" spans="1:12" x14ac:dyDescent="0.3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2" t="s">
        <v>36</v>
      </c>
    </row>
    <row r="347" spans="1:12" x14ac:dyDescent="0.3">
      <c r="A347" s="3" t="s">
        <v>1061</v>
      </c>
      <c r="B347" s="3" t="s">
        <v>44</v>
      </c>
      <c r="C347" s="3" t="s">
        <v>83</v>
      </c>
      <c r="D347" s="3" t="s">
        <v>24</v>
      </c>
      <c r="E347" s="3">
        <v>24</v>
      </c>
      <c r="F347" s="3" t="s">
        <v>50</v>
      </c>
      <c r="G347" s="3" t="s">
        <v>108</v>
      </c>
      <c r="H347" s="3" t="s">
        <v>1062</v>
      </c>
      <c r="I347" s="3">
        <v>67559</v>
      </c>
      <c r="J347" s="3" t="s">
        <v>34</v>
      </c>
      <c r="K347" s="3" t="s">
        <v>1063</v>
      </c>
      <c r="L347" s="4" t="s">
        <v>21</v>
      </c>
    </row>
    <row r="348" spans="1:12" x14ac:dyDescent="0.3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2" t="s">
        <v>21</v>
      </c>
    </row>
    <row r="349" spans="1:12" x14ac:dyDescent="0.3">
      <c r="A349" s="3" t="s">
        <v>1067</v>
      </c>
      <c r="B349" s="3" t="s">
        <v>13</v>
      </c>
      <c r="C349" s="3" t="s">
        <v>63</v>
      </c>
      <c r="D349" s="3" t="s">
        <v>24</v>
      </c>
      <c r="E349" s="3">
        <v>30</v>
      </c>
      <c r="F349" s="3" t="s">
        <v>31</v>
      </c>
      <c r="G349" s="3" t="s">
        <v>26</v>
      </c>
      <c r="H349" s="3" t="s">
        <v>1068</v>
      </c>
      <c r="I349" s="3">
        <v>103395</v>
      </c>
      <c r="J349" s="3" t="s">
        <v>19</v>
      </c>
      <c r="K349" s="3" t="s">
        <v>1069</v>
      </c>
      <c r="L349" s="4" t="s">
        <v>36</v>
      </c>
    </row>
    <row r="350" spans="1:12" x14ac:dyDescent="0.3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2" t="s">
        <v>36</v>
      </c>
    </row>
    <row r="351" spans="1:12" x14ac:dyDescent="0.3">
      <c r="A351" s="3" t="s">
        <v>1073</v>
      </c>
      <c r="B351" s="3" t="s">
        <v>49</v>
      </c>
      <c r="C351" s="3" t="s">
        <v>14</v>
      </c>
      <c r="D351" s="3" t="s">
        <v>15</v>
      </c>
      <c r="E351" s="3">
        <v>33</v>
      </c>
      <c r="F351" s="3" t="s">
        <v>31</v>
      </c>
      <c r="G351" s="3" t="s">
        <v>17</v>
      </c>
      <c r="H351" s="3" t="s">
        <v>1074</v>
      </c>
      <c r="I351" s="3">
        <v>69952</v>
      </c>
      <c r="J351" s="3" t="s">
        <v>60</v>
      </c>
      <c r="K351" s="3" t="s">
        <v>1075</v>
      </c>
      <c r="L351" s="4" t="s">
        <v>36</v>
      </c>
    </row>
    <row r="352" spans="1:12" x14ac:dyDescent="0.3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2" t="s">
        <v>36</v>
      </c>
    </row>
    <row r="353" spans="1:12" x14ac:dyDescent="0.3">
      <c r="A353" s="3" t="s">
        <v>1079</v>
      </c>
      <c r="B353" s="3" t="s">
        <v>44</v>
      </c>
      <c r="C353" s="3" t="s">
        <v>90</v>
      </c>
      <c r="D353" s="3" t="s">
        <v>15</v>
      </c>
      <c r="E353" s="3">
        <v>27</v>
      </c>
      <c r="F353" s="3" t="s">
        <v>31</v>
      </c>
      <c r="G353" s="3" t="s">
        <v>32</v>
      </c>
      <c r="H353" s="3" t="s">
        <v>1080</v>
      </c>
      <c r="I353" s="3">
        <v>65699</v>
      </c>
      <c r="J353" s="3" t="s">
        <v>34</v>
      </c>
      <c r="K353" s="3" t="s">
        <v>1081</v>
      </c>
      <c r="L353" s="4" t="s">
        <v>21</v>
      </c>
    </row>
    <row r="354" spans="1:12" x14ac:dyDescent="0.3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2" t="s">
        <v>21</v>
      </c>
    </row>
    <row r="355" spans="1:12" x14ac:dyDescent="0.3">
      <c r="A355" s="3" t="s">
        <v>1085</v>
      </c>
      <c r="B355" s="3" t="s">
        <v>71</v>
      </c>
      <c r="C355" s="3" t="s">
        <v>95</v>
      </c>
      <c r="D355" s="3" t="s">
        <v>15</v>
      </c>
      <c r="E355" s="3">
        <v>31</v>
      </c>
      <c r="F355" s="3" t="s">
        <v>25</v>
      </c>
      <c r="G355" s="3" t="s">
        <v>40</v>
      </c>
      <c r="H355" s="3" t="s">
        <v>1086</v>
      </c>
      <c r="I355" s="3">
        <v>114818</v>
      </c>
      <c r="J355" s="3" t="s">
        <v>34</v>
      </c>
      <c r="K355" s="3" t="s">
        <v>1087</v>
      </c>
      <c r="L355" s="4" t="s">
        <v>36</v>
      </c>
    </row>
    <row r="356" spans="1:12" x14ac:dyDescent="0.3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2" t="s">
        <v>36</v>
      </c>
    </row>
    <row r="357" spans="1:12" x14ac:dyDescent="0.3">
      <c r="A357" s="3" t="s">
        <v>1091</v>
      </c>
      <c r="B357" s="3" t="s">
        <v>54</v>
      </c>
      <c r="C357" s="3" t="s">
        <v>90</v>
      </c>
      <c r="D357" s="3" t="s">
        <v>24</v>
      </c>
      <c r="E357" s="3">
        <v>38</v>
      </c>
      <c r="F357" s="3" t="s">
        <v>39</v>
      </c>
      <c r="G357" s="3" t="s">
        <v>17</v>
      </c>
      <c r="H357" s="3" t="s">
        <v>1092</v>
      </c>
      <c r="I357" s="3">
        <v>116569</v>
      </c>
      <c r="J357" s="3" t="s">
        <v>80</v>
      </c>
      <c r="K357" s="3" t="s">
        <v>1093</v>
      </c>
      <c r="L357" s="4" t="s">
        <v>21</v>
      </c>
    </row>
    <row r="358" spans="1:12" x14ac:dyDescent="0.3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2" t="s">
        <v>36</v>
      </c>
    </row>
    <row r="359" spans="1:12" x14ac:dyDescent="0.3">
      <c r="A359" s="3" t="s">
        <v>1097</v>
      </c>
      <c r="B359" s="3" t="s">
        <v>58</v>
      </c>
      <c r="C359" s="3" t="s">
        <v>95</v>
      </c>
      <c r="D359" s="3" t="s">
        <v>15</v>
      </c>
      <c r="E359" s="3">
        <v>58</v>
      </c>
      <c r="F359" s="3" t="s">
        <v>31</v>
      </c>
      <c r="G359" s="3" t="s">
        <v>26</v>
      </c>
      <c r="H359" s="3" t="s">
        <v>1098</v>
      </c>
      <c r="I359" s="3">
        <v>60665</v>
      </c>
      <c r="J359" s="3" t="s">
        <v>60</v>
      </c>
      <c r="K359" s="3" t="s">
        <v>1099</v>
      </c>
      <c r="L359" s="4" t="s">
        <v>36</v>
      </c>
    </row>
    <row r="360" spans="1:12" x14ac:dyDescent="0.3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2" t="s">
        <v>36</v>
      </c>
    </row>
    <row r="361" spans="1:12" x14ac:dyDescent="0.3">
      <c r="A361" s="3" t="s">
        <v>1103</v>
      </c>
      <c r="B361" s="3" t="s">
        <v>58</v>
      </c>
      <c r="C361" s="3" t="s">
        <v>130</v>
      </c>
      <c r="D361" s="3" t="s">
        <v>15</v>
      </c>
      <c r="E361" s="3">
        <v>55</v>
      </c>
      <c r="F361" s="3" t="s">
        <v>50</v>
      </c>
      <c r="G361" s="3" t="s">
        <v>108</v>
      </c>
      <c r="H361" s="3" t="s">
        <v>1104</v>
      </c>
      <c r="I361" s="3">
        <v>76843</v>
      </c>
      <c r="J361" s="3" t="s">
        <v>60</v>
      </c>
      <c r="K361" s="3" t="s">
        <v>1105</v>
      </c>
      <c r="L361" s="4" t="s">
        <v>21</v>
      </c>
    </row>
    <row r="362" spans="1:12" x14ac:dyDescent="0.3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2" t="s">
        <v>21</v>
      </c>
    </row>
    <row r="363" spans="1:12" x14ac:dyDescent="0.3">
      <c r="A363" s="3" t="s">
        <v>1109</v>
      </c>
      <c r="B363" s="3" t="s">
        <v>71</v>
      </c>
      <c r="C363" s="3" t="s">
        <v>14</v>
      </c>
      <c r="D363" s="3" t="s">
        <v>24</v>
      </c>
      <c r="E363" s="3">
        <v>60</v>
      </c>
      <c r="F363" s="3" t="s">
        <v>16</v>
      </c>
      <c r="G363" s="3" t="s">
        <v>17</v>
      </c>
      <c r="H363" s="3" t="s">
        <v>1110</v>
      </c>
      <c r="I363" s="3">
        <v>117041</v>
      </c>
      <c r="J363" s="3" t="s">
        <v>19</v>
      </c>
      <c r="K363" s="3" t="s">
        <v>1111</v>
      </c>
      <c r="L363" s="4" t="s">
        <v>36</v>
      </c>
    </row>
    <row r="364" spans="1:12" x14ac:dyDescent="0.3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2" t="s">
        <v>21</v>
      </c>
    </row>
    <row r="365" spans="1:12" x14ac:dyDescent="0.3">
      <c r="A365" s="3" t="s">
        <v>1115</v>
      </c>
      <c r="B365" s="3" t="s">
        <v>143</v>
      </c>
      <c r="C365" s="3" t="s">
        <v>165</v>
      </c>
      <c r="D365" s="3" t="s">
        <v>24</v>
      </c>
      <c r="E365" s="3">
        <v>37</v>
      </c>
      <c r="F365" s="3" t="s">
        <v>50</v>
      </c>
      <c r="G365" s="3" t="s">
        <v>108</v>
      </c>
      <c r="H365" s="3" t="s">
        <v>1116</v>
      </c>
      <c r="I365" s="3">
        <v>43224</v>
      </c>
      <c r="J365" s="3" t="s">
        <v>34</v>
      </c>
      <c r="K365" s="3" t="s">
        <v>1117</v>
      </c>
      <c r="L365" s="4" t="s">
        <v>21</v>
      </c>
    </row>
    <row r="366" spans="1:12" x14ac:dyDescent="0.3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2" t="s">
        <v>36</v>
      </c>
    </row>
    <row r="367" spans="1:12" x14ac:dyDescent="0.3">
      <c r="A367" s="3" t="s">
        <v>1121</v>
      </c>
      <c r="B367" s="3" t="s">
        <v>49</v>
      </c>
      <c r="C367" s="3" t="s">
        <v>95</v>
      </c>
      <c r="D367" s="3" t="s">
        <v>15</v>
      </c>
      <c r="E367" s="3">
        <v>56</v>
      </c>
      <c r="F367" s="3" t="s">
        <v>39</v>
      </c>
      <c r="G367" s="3" t="s">
        <v>40</v>
      </c>
      <c r="H367" s="3" t="s">
        <v>1122</v>
      </c>
      <c r="I367" s="3">
        <v>101636</v>
      </c>
      <c r="J367" s="3" t="s">
        <v>80</v>
      </c>
      <c r="K367" s="3" t="s">
        <v>1123</v>
      </c>
      <c r="L367" s="4" t="s">
        <v>36</v>
      </c>
    </row>
    <row r="368" spans="1:12" x14ac:dyDescent="0.3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2" t="s">
        <v>36</v>
      </c>
    </row>
    <row r="369" spans="1:12" x14ac:dyDescent="0.3">
      <c r="A369" s="3" t="s">
        <v>1127</v>
      </c>
      <c r="B369" s="3" t="s">
        <v>30</v>
      </c>
      <c r="C369" s="3" t="s">
        <v>45</v>
      </c>
      <c r="D369" s="3" t="s">
        <v>15</v>
      </c>
      <c r="E369" s="3">
        <v>42</v>
      </c>
      <c r="F369" s="3" t="s">
        <v>16</v>
      </c>
      <c r="G369" s="3" t="s">
        <v>32</v>
      </c>
      <c r="H369" s="3" t="s">
        <v>1128</v>
      </c>
      <c r="I369" s="3">
        <v>75163</v>
      </c>
      <c r="J369" s="3" t="s">
        <v>34</v>
      </c>
      <c r="K369" s="3" t="s">
        <v>1129</v>
      </c>
      <c r="L369" s="4" t="s">
        <v>21</v>
      </c>
    </row>
    <row r="370" spans="1:12" x14ac:dyDescent="0.3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2" t="s">
        <v>36</v>
      </c>
    </row>
    <row r="371" spans="1:12" x14ac:dyDescent="0.3">
      <c r="A371" s="3" t="s">
        <v>1133</v>
      </c>
      <c r="B371" s="3" t="s">
        <v>94</v>
      </c>
      <c r="C371" s="3" t="s">
        <v>130</v>
      </c>
      <c r="D371" s="3" t="s">
        <v>15</v>
      </c>
      <c r="E371" s="3">
        <v>49</v>
      </c>
      <c r="F371" s="3" t="s">
        <v>50</v>
      </c>
      <c r="G371" s="3" t="s">
        <v>40</v>
      </c>
      <c r="H371" s="3" t="s">
        <v>1134</v>
      </c>
      <c r="I371" s="3">
        <v>54974</v>
      </c>
      <c r="J371" s="3" t="s">
        <v>80</v>
      </c>
      <c r="K371" s="3" t="s">
        <v>1135</v>
      </c>
      <c r="L371" s="4" t="s">
        <v>36</v>
      </c>
    </row>
    <row r="372" spans="1:12" x14ac:dyDescent="0.3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2" t="s">
        <v>36</v>
      </c>
    </row>
    <row r="373" spans="1:12" x14ac:dyDescent="0.3">
      <c r="A373" s="3" t="s">
        <v>1139</v>
      </c>
      <c r="B373" s="3" t="s">
        <v>13</v>
      </c>
      <c r="C373" s="3" t="s">
        <v>130</v>
      </c>
      <c r="D373" s="3" t="s">
        <v>24</v>
      </c>
      <c r="E373" s="3">
        <v>58</v>
      </c>
      <c r="F373" s="3" t="s">
        <v>31</v>
      </c>
      <c r="G373" s="3" t="s">
        <v>40</v>
      </c>
      <c r="H373" s="3" t="s">
        <v>196</v>
      </c>
      <c r="I373" s="3">
        <v>88207</v>
      </c>
      <c r="J373" s="3" t="s">
        <v>80</v>
      </c>
      <c r="K373" s="3" t="s">
        <v>1140</v>
      </c>
      <c r="L373" s="4" t="s">
        <v>36</v>
      </c>
    </row>
    <row r="374" spans="1:12" x14ac:dyDescent="0.3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2" t="s">
        <v>21</v>
      </c>
    </row>
    <row r="375" spans="1:12" x14ac:dyDescent="0.3">
      <c r="A375" s="3" t="s">
        <v>1143</v>
      </c>
      <c r="B375" s="3" t="s">
        <v>54</v>
      </c>
      <c r="C375" s="3" t="s">
        <v>90</v>
      </c>
      <c r="D375" s="3" t="s">
        <v>15</v>
      </c>
      <c r="E375" s="3">
        <v>27</v>
      </c>
      <c r="F375" s="3" t="s">
        <v>25</v>
      </c>
      <c r="G375" s="3" t="s">
        <v>40</v>
      </c>
      <c r="H375" s="3" t="s">
        <v>1144</v>
      </c>
      <c r="I375" s="3">
        <v>49341</v>
      </c>
      <c r="J375" s="3" t="s">
        <v>60</v>
      </c>
      <c r="K375" s="3" t="s">
        <v>1145</v>
      </c>
      <c r="L375" s="4" t="s">
        <v>36</v>
      </c>
    </row>
    <row r="376" spans="1:12" x14ac:dyDescent="0.3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2" t="s">
        <v>21</v>
      </c>
    </row>
    <row r="377" spans="1:12" x14ac:dyDescent="0.3">
      <c r="A377" s="3" t="s">
        <v>1149</v>
      </c>
      <c r="B377" s="3" t="s">
        <v>94</v>
      </c>
      <c r="C377" s="3" t="s">
        <v>14</v>
      </c>
      <c r="D377" s="3" t="s">
        <v>15</v>
      </c>
      <c r="E377" s="3">
        <v>28</v>
      </c>
      <c r="F377" s="3" t="s">
        <v>50</v>
      </c>
      <c r="G377" s="3" t="s">
        <v>17</v>
      </c>
      <c r="H377" s="3" t="s">
        <v>1150</v>
      </c>
      <c r="I377" s="3">
        <v>113590</v>
      </c>
      <c r="J377" s="3" t="s">
        <v>19</v>
      </c>
      <c r="K377" s="3" t="s">
        <v>1151</v>
      </c>
      <c r="L377" s="4" t="s">
        <v>36</v>
      </c>
    </row>
    <row r="378" spans="1:12" x14ac:dyDescent="0.3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2" t="s">
        <v>21</v>
      </c>
    </row>
    <row r="379" spans="1:12" x14ac:dyDescent="0.3">
      <c r="A379" s="3" t="s">
        <v>1155</v>
      </c>
      <c r="B379" s="3" t="s">
        <v>94</v>
      </c>
      <c r="C379" s="3" t="s">
        <v>90</v>
      </c>
      <c r="D379" s="3" t="s">
        <v>15</v>
      </c>
      <c r="E379" s="3">
        <v>37</v>
      </c>
      <c r="F379" s="3" t="s">
        <v>25</v>
      </c>
      <c r="G379" s="3" t="s">
        <v>32</v>
      </c>
      <c r="H379" s="3" t="s">
        <v>1156</v>
      </c>
      <c r="I379" s="3">
        <v>69652</v>
      </c>
      <c r="J379" s="3" t="s">
        <v>65</v>
      </c>
      <c r="K379" s="3" t="s">
        <v>1157</v>
      </c>
      <c r="L379" s="4" t="s">
        <v>36</v>
      </c>
    </row>
    <row r="380" spans="1:12" x14ac:dyDescent="0.3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2" t="s">
        <v>21</v>
      </c>
    </row>
    <row r="381" spans="1:12" x14ac:dyDescent="0.3">
      <c r="A381" s="3" t="s">
        <v>1161</v>
      </c>
      <c r="B381" s="3" t="s">
        <v>49</v>
      </c>
      <c r="C381" s="3" t="s">
        <v>14</v>
      </c>
      <c r="D381" s="3" t="s">
        <v>24</v>
      </c>
      <c r="E381" s="3">
        <v>24</v>
      </c>
      <c r="F381" s="3" t="s">
        <v>25</v>
      </c>
      <c r="G381" s="3" t="s">
        <v>17</v>
      </c>
      <c r="H381" s="3" t="s">
        <v>1162</v>
      </c>
      <c r="I381" s="3">
        <v>65180</v>
      </c>
      <c r="J381" s="3" t="s">
        <v>65</v>
      </c>
      <c r="K381" s="3" t="s">
        <v>1163</v>
      </c>
      <c r="L381" s="4" t="s">
        <v>21</v>
      </c>
    </row>
    <row r="382" spans="1:12" x14ac:dyDescent="0.3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2" t="s">
        <v>21</v>
      </c>
    </row>
    <row r="383" spans="1:12" x14ac:dyDescent="0.3">
      <c r="A383" s="3" t="s">
        <v>1166</v>
      </c>
      <c r="B383" s="3" t="s">
        <v>38</v>
      </c>
      <c r="C383" s="3" t="s">
        <v>63</v>
      </c>
      <c r="D383" s="3" t="s">
        <v>15</v>
      </c>
      <c r="E383" s="3">
        <v>57</v>
      </c>
      <c r="F383" s="3" t="s">
        <v>25</v>
      </c>
      <c r="G383" s="3" t="s">
        <v>32</v>
      </c>
      <c r="H383" s="3" t="s">
        <v>1167</v>
      </c>
      <c r="I383" s="3">
        <v>91007</v>
      </c>
      <c r="J383" s="3" t="s">
        <v>60</v>
      </c>
      <c r="K383" s="3" t="s">
        <v>1168</v>
      </c>
      <c r="L383" s="4" t="s">
        <v>36</v>
      </c>
    </row>
    <row r="384" spans="1:12" x14ac:dyDescent="0.3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2" t="s">
        <v>21</v>
      </c>
    </row>
    <row r="385" spans="1:12" x14ac:dyDescent="0.3">
      <c r="A385" s="3" t="s">
        <v>1172</v>
      </c>
      <c r="B385" s="3" t="s">
        <v>30</v>
      </c>
      <c r="C385" s="3" t="s">
        <v>78</v>
      </c>
      <c r="D385" s="3" t="s">
        <v>24</v>
      </c>
      <c r="E385" s="3">
        <v>34</v>
      </c>
      <c r="F385" s="3" t="s">
        <v>16</v>
      </c>
      <c r="G385" s="3" t="s">
        <v>26</v>
      </c>
      <c r="H385" s="3" t="s">
        <v>1173</v>
      </c>
      <c r="I385" s="3">
        <v>70318</v>
      </c>
      <c r="J385" s="3" t="s">
        <v>19</v>
      </c>
      <c r="K385" s="3" t="s">
        <v>1174</v>
      </c>
      <c r="L385" s="4" t="s">
        <v>36</v>
      </c>
    </row>
    <row r="386" spans="1:12" x14ac:dyDescent="0.3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2" t="s">
        <v>21</v>
      </c>
    </row>
    <row r="387" spans="1:12" x14ac:dyDescent="0.3">
      <c r="A387" s="3" t="s">
        <v>1177</v>
      </c>
      <c r="B387" s="3" t="s">
        <v>143</v>
      </c>
      <c r="C387" s="3" t="s">
        <v>14</v>
      </c>
      <c r="D387" s="3" t="s">
        <v>15</v>
      </c>
      <c r="E387" s="3">
        <v>48</v>
      </c>
      <c r="F387" s="3" t="s">
        <v>50</v>
      </c>
      <c r="G387" s="3" t="s">
        <v>108</v>
      </c>
      <c r="H387" s="3" t="s">
        <v>1178</v>
      </c>
      <c r="I387" s="3">
        <v>71987</v>
      </c>
      <c r="J387" s="3" t="s">
        <v>34</v>
      </c>
      <c r="K387" s="3" t="s">
        <v>1179</v>
      </c>
      <c r="L387" s="4" t="s">
        <v>36</v>
      </c>
    </row>
    <row r="388" spans="1:12" x14ac:dyDescent="0.3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2" t="s">
        <v>36</v>
      </c>
    </row>
    <row r="389" spans="1:12" x14ac:dyDescent="0.3">
      <c r="A389" s="3" t="s">
        <v>1183</v>
      </c>
      <c r="B389" s="3" t="s">
        <v>71</v>
      </c>
      <c r="C389" s="3" t="s">
        <v>130</v>
      </c>
      <c r="D389" s="3" t="s">
        <v>15</v>
      </c>
      <c r="E389" s="3">
        <v>58</v>
      </c>
      <c r="F389" s="3" t="s">
        <v>25</v>
      </c>
      <c r="G389" s="3" t="s">
        <v>40</v>
      </c>
      <c r="H389" s="3" t="s">
        <v>1184</v>
      </c>
      <c r="I389" s="3">
        <v>115133</v>
      </c>
      <c r="J389" s="3" t="s">
        <v>34</v>
      </c>
      <c r="K389" s="3" t="s">
        <v>1185</v>
      </c>
      <c r="L389" s="4" t="s">
        <v>21</v>
      </c>
    </row>
    <row r="390" spans="1:12" x14ac:dyDescent="0.3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2" t="s">
        <v>36</v>
      </c>
    </row>
    <row r="391" spans="1:12" x14ac:dyDescent="0.3">
      <c r="A391" s="3" t="s">
        <v>1189</v>
      </c>
      <c r="B391" s="3" t="s">
        <v>30</v>
      </c>
      <c r="C391" s="3" t="s">
        <v>78</v>
      </c>
      <c r="D391" s="3" t="s">
        <v>24</v>
      </c>
      <c r="E391" s="3">
        <v>46</v>
      </c>
      <c r="F391" s="3" t="s">
        <v>31</v>
      </c>
      <c r="G391" s="3" t="s">
        <v>17</v>
      </c>
      <c r="H391" s="3" t="s">
        <v>1190</v>
      </c>
      <c r="I391" s="3">
        <v>107012</v>
      </c>
      <c r="J391" s="3" t="s">
        <v>65</v>
      </c>
      <c r="K391" s="3" t="s">
        <v>1191</v>
      </c>
      <c r="L391" s="4" t="s">
        <v>21</v>
      </c>
    </row>
    <row r="392" spans="1:12" x14ac:dyDescent="0.3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2" t="s">
        <v>21</v>
      </c>
    </row>
    <row r="393" spans="1:12" x14ac:dyDescent="0.3">
      <c r="A393" s="3" t="s">
        <v>1195</v>
      </c>
      <c r="B393" s="3" t="s">
        <v>58</v>
      </c>
      <c r="C393" s="3" t="s">
        <v>90</v>
      </c>
      <c r="D393" s="3" t="s">
        <v>15</v>
      </c>
      <c r="E393" s="3">
        <v>44</v>
      </c>
      <c r="F393" s="3" t="s">
        <v>25</v>
      </c>
      <c r="G393" s="3" t="s">
        <v>108</v>
      </c>
      <c r="H393" s="3" t="s">
        <v>1196</v>
      </c>
      <c r="I393" s="3">
        <v>77085</v>
      </c>
      <c r="J393" s="3" t="s">
        <v>80</v>
      </c>
      <c r="K393" s="3" t="s">
        <v>1197</v>
      </c>
      <c r="L393" s="4" t="s">
        <v>36</v>
      </c>
    </row>
    <row r="394" spans="1:12" x14ac:dyDescent="0.3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2" t="s">
        <v>36</v>
      </c>
    </row>
    <row r="395" spans="1:12" x14ac:dyDescent="0.3">
      <c r="A395" s="3" t="s">
        <v>1201</v>
      </c>
      <c r="B395" s="3" t="s">
        <v>54</v>
      </c>
      <c r="C395" s="3" t="s">
        <v>83</v>
      </c>
      <c r="D395" s="3" t="s">
        <v>24</v>
      </c>
      <c r="E395" s="3">
        <v>47</v>
      </c>
      <c r="F395" s="3" t="s">
        <v>31</v>
      </c>
      <c r="G395" s="3" t="s">
        <v>26</v>
      </c>
      <c r="H395" s="3" t="s">
        <v>1202</v>
      </c>
      <c r="I395" s="3">
        <v>59479</v>
      </c>
      <c r="J395" s="3" t="s">
        <v>34</v>
      </c>
      <c r="K395" s="3" t="s">
        <v>1203</v>
      </c>
      <c r="L395" s="4" t="s">
        <v>36</v>
      </c>
    </row>
    <row r="396" spans="1:12" x14ac:dyDescent="0.3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2" t="s">
        <v>21</v>
      </c>
    </row>
    <row r="397" spans="1:12" x14ac:dyDescent="0.3">
      <c r="A397" s="3" t="s">
        <v>1207</v>
      </c>
      <c r="B397" s="3" t="s">
        <v>30</v>
      </c>
      <c r="C397" s="3" t="s">
        <v>165</v>
      </c>
      <c r="D397" s="3" t="s">
        <v>15</v>
      </c>
      <c r="E397" s="3">
        <v>37</v>
      </c>
      <c r="F397" s="3" t="s">
        <v>50</v>
      </c>
      <c r="G397" s="3" t="s">
        <v>40</v>
      </c>
      <c r="H397" s="3" t="s">
        <v>1208</v>
      </c>
      <c r="I397" s="3">
        <v>90050</v>
      </c>
      <c r="J397" s="3" t="s">
        <v>65</v>
      </c>
      <c r="K397" s="3" t="s">
        <v>1209</v>
      </c>
      <c r="L397" s="4" t="s">
        <v>21</v>
      </c>
    </row>
    <row r="398" spans="1:12" x14ac:dyDescent="0.3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2" t="s">
        <v>36</v>
      </c>
    </row>
    <row r="399" spans="1:12" x14ac:dyDescent="0.3">
      <c r="A399" s="3" t="s">
        <v>1213</v>
      </c>
      <c r="B399" s="3" t="s">
        <v>71</v>
      </c>
      <c r="C399" s="3" t="s">
        <v>165</v>
      </c>
      <c r="D399" s="3" t="s">
        <v>24</v>
      </c>
      <c r="E399" s="3">
        <v>47</v>
      </c>
      <c r="F399" s="3" t="s">
        <v>31</v>
      </c>
      <c r="G399" s="3" t="s">
        <v>17</v>
      </c>
      <c r="H399" s="3" t="s">
        <v>1214</v>
      </c>
      <c r="I399" s="3">
        <v>76082</v>
      </c>
      <c r="J399" s="3" t="s">
        <v>65</v>
      </c>
      <c r="K399" s="3" t="s">
        <v>1215</v>
      </c>
      <c r="L399" s="4" t="s">
        <v>36</v>
      </c>
    </row>
    <row r="400" spans="1:12" x14ac:dyDescent="0.3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2" t="s">
        <v>21</v>
      </c>
    </row>
    <row r="401" spans="1:12" x14ac:dyDescent="0.3">
      <c r="A401" s="3" t="s">
        <v>1218</v>
      </c>
      <c r="B401" s="3" t="s">
        <v>94</v>
      </c>
      <c r="C401" s="3" t="s">
        <v>130</v>
      </c>
      <c r="D401" s="3" t="s">
        <v>15</v>
      </c>
      <c r="E401" s="3">
        <v>39</v>
      </c>
      <c r="F401" s="3" t="s">
        <v>16</v>
      </c>
      <c r="G401" s="3" t="s">
        <v>108</v>
      </c>
      <c r="H401" s="3" t="s">
        <v>1219</v>
      </c>
      <c r="I401" s="3">
        <v>44551</v>
      </c>
      <c r="J401" s="3" t="s">
        <v>34</v>
      </c>
      <c r="K401" s="3" t="s">
        <v>1220</v>
      </c>
      <c r="L401" s="4" t="s">
        <v>21</v>
      </c>
    </row>
    <row r="402" spans="1:12" x14ac:dyDescent="0.3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2" t="s">
        <v>36</v>
      </c>
    </row>
    <row r="403" spans="1:12" x14ac:dyDescent="0.3">
      <c r="A403" s="3" t="s">
        <v>1224</v>
      </c>
      <c r="B403" s="3" t="s">
        <v>71</v>
      </c>
      <c r="C403" s="3" t="s">
        <v>90</v>
      </c>
      <c r="D403" s="3" t="s">
        <v>24</v>
      </c>
      <c r="E403" s="3">
        <v>43</v>
      </c>
      <c r="F403" s="3" t="s">
        <v>16</v>
      </c>
      <c r="G403" s="3" t="s">
        <v>26</v>
      </c>
      <c r="H403" s="3" t="s">
        <v>1225</v>
      </c>
      <c r="I403" s="3">
        <v>40238</v>
      </c>
      <c r="J403" s="3" t="s">
        <v>19</v>
      </c>
      <c r="K403" s="3" t="s">
        <v>1226</v>
      </c>
      <c r="L403" s="4" t="s">
        <v>21</v>
      </c>
    </row>
    <row r="404" spans="1:12" x14ac:dyDescent="0.3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2" t="s">
        <v>21</v>
      </c>
    </row>
    <row r="405" spans="1:12" x14ac:dyDescent="0.3">
      <c r="A405" s="3" t="s">
        <v>1230</v>
      </c>
      <c r="B405" s="3" t="s">
        <v>44</v>
      </c>
      <c r="C405" s="3" t="s">
        <v>14</v>
      </c>
      <c r="D405" s="3" t="s">
        <v>24</v>
      </c>
      <c r="E405" s="3">
        <v>57</v>
      </c>
      <c r="F405" s="3" t="s">
        <v>16</v>
      </c>
      <c r="G405" s="3" t="s">
        <v>17</v>
      </c>
      <c r="H405" s="3" t="s">
        <v>1231</v>
      </c>
      <c r="I405" s="3">
        <v>107382</v>
      </c>
      <c r="J405" s="3" t="s">
        <v>19</v>
      </c>
      <c r="K405" s="3" t="s">
        <v>1232</v>
      </c>
      <c r="L405" s="4" t="s">
        <v>36</v>
      </c>
    </row>
    <row r="406" spans="1:12" x14ac:dyDescent="0.3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2" t="s">
        <v>21</v>
      </c>
    </row>
    <row r="407" spans="1:12" x14ac:dyDescent="0.3">
      <c r="A407" s="3" t="s">
        <v>1236</v>
      </c>
      <c r="B407" s="3" t="s">
        <v>143</v>
      </c>
      <c r="C407" s="3" t="s">
        <v>23</v>
      </c>
      <c r="D407" s="3" t="s">
        <v>24</v>
      </c>
      <c r="E407" s="3">
        <v>37</v>
      </c>
      <c r="F407" s="3" t="s">
        <v>31</v>
      </c>
      <c r="G407" s="3" t="s">
        <v>108</v>
      </c>
      <c r="H407" s="3" t="s">
        <v>1237</v>
      </c>
      <c r="I407" s="3">
        <v>40061</v>
      </c>
      <c r="J407" s="3" t="s">
        <v>65</v>
      </c>
      <c r="K407" s="3" t="s">
        <v>1238</v>
      </c>
      <c r="L407" s="4" t="s">
        <v>21</v>
      </c>
    </row>
    <row r="408" spans="1:12" x14ac:dyDescent="0.3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2" t="s">
        <v>21</v>
      </c>
    </row>
    <row r="409" spans="1:12" x14ac:dyDescent="0.3">
      <c r="A409" s="3" t="s">
        <v>1242</v>
      </c>
      <c r="B409" s="3" t="s">
        <v>71</v>
      </c>
      <c r="C409" s="3" t="s">
        <v>63</v>
      </c>
      <c r="D409" s="3" t="s">
        <v>15</v>
      </c>
      <c r="E409" s="3">
        <v>30</v>
      </c>
      <c r="F409" s="3" t="s">
        <v>39</v>
      </c>
      <c r="G409" s="3" t="s">
        <v>40</v>
      </c>
      <c r="H409" s="3" t="s">
        <v>1243</v>
      </c>
      <c r="I409" s="3">
        <v>41334</v>
      </c>
      <c r="J409" s="3" t="s">
        <v>34</v>
      </c>
      <c r="K409" s="3" t="s">
        <v>1244</v>
      </c>
      <c r="L409" s="4" t="s">
        <v>21</v>
      </c>
    </row>
    <row r="410" spans="1:12" x14ac:dyDescent="0.3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2" t="s">
        <v>36</v>
      </c>
    </row>
    <row r="411" spans="1:12" x14ac:dyDescent="0.3">
      <c r="A411" s="3" t="s">
        <v>1248</v>
      </c>
      <c r="B411" s="3" t="s">
        <v>71</v>
      </c>
      <c r="C411" s="3" t="s">
        <v>90</v>
      </c>
      <c r="D411" s="3" t="s">
        <v>15</v>
      </c>
      <c r="E411" s="3">
        <v>31</v>
      </c>
      <c r="F411" s="3" t="s">
        <v>50</v>
      </c>
      <c r="G411" s="3" t="s">
        <v>26</v>
      </c>
      <c r="H411" s="3" t="s">
        <v>1249</v>
      </c>
      <c r="I411" s="3">
        <v>78935</v>
      </c>
      <c r="J411" s="3" t="s">
        <v>19</v>
      </c>
      <c r="K411" s="3" t="s">
        <v>1250</v>
      </c>
      <c r="L411" s="4" t="s">
        <v>36</v>
      </c>
    </row>
    <row r="412" spans="1:12" x14ac:dyDescent="0.3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2" t="s">
        <v>21</v>
      </c>
    </row>
    <row r="413" spans="1:12" x14ac:dyDescent="0.3">
      <c r="A413" s="3" t="s">
        <v>1254</v>
      </c>
      <c r="B413" s="3" t="s">
        <v>13</v>
      </c>
      <c r="C413" s="3" t="s">
        <v>45</v>
      </c>
      <c r="D413" s="3" t="s">
        <v>15</v>
      </c>
      <c r="E413" s="3">
        <v>51</v>
      </c>
      <c r="F413" s="3" t="s">
        <v>25</v>
      </c>
      <c r="G413" s="3" t="s">
        <v>26</v>
      </c>
      <c r="H413" s="3" t="s">
        <v>1255</v>
      </c>
      <c r="I413" s="3">
        <v>56816</v>
      </c>
      <c r="J413" s="3" t="s">
        <v>65</v>
      </c>
      <c r="K413" s="3" t="s">
        <v>1256</v>
      </c>
      <c r="L413" s="4" t="s">
        <v>21</v>
      </c>
    </row>
    <row r="414" spans="1:12" x14ac:dyDescent="0.3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2" t="s">
        <v>21</v>
      </c>
    </row>
    <row r="415" spans="1:12" x14ac:dyDescent="0.3">
      <c r="A415" s="3" t="s">
        <v>1260</v>
      </c>
      <c r="B415" s="3" t="s">
        <v>58</v>
      </c>
      <c r="C415" s="3" t="s">
        <v>45</v>
      </c>
      <c r="D415" s="3" t="s">
        <v>24</v>
      </c>
      <c r="E415" s="3">
        <v>38</v>
      </c>
      <c r="F415" s="3" t="s">
        <v>50</v>
      </c>
      <c r="G415" s="3" t="s">
        <v>108</v>
      </c>
      <c r="H415" s="3" t="s">
        <v>1261</v>
      </c>
      <c r="I415" s="3">
        <v>99123</v>
      </c>
      <c r="J415" s="3" t="s">
        <v>19</v>
      </c>
      <c r="K415" s="3" t="s">
        <v>1262</v>
      </c>
      <c r="L415" s="4" t="s">
        <v>36</v>
      </c>
    </row>
    <row r="416" spans="1:12" x14ac:dyDescent="0.3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2" t="s">
        <v>21</v>
      </c>
    </row>
    <row r="417" spans="1:12" x14ac:dyDescent="0.3">
      <c r="A417" s="3" t="s">
        <v>1266</v>
      </c>
      <c r="B417" s="3" t="s">
        <v>54</v>
      </c>
      <c r="C417" s="3" t="s">
        <v>165</v>
      </c>
      <c r="D417" s="3" t="s">
        <v>24</v>
      </c>
      <c r="E417" s="3">
        <v>57</v>
      </c>
      <c r="F417" s="3" t="s">
        <v>31</v>
      </c>
      <c r="G417" s="3" t="s">
        <v>26</v>
      </c>
      <c r="H417" s="3" t="s">
        <v>1267</v>
      </c>
      <c r="I417" s="3">
        <v>104342</v>
      </c>
      <c r="J417" s="3" t="s">
        <v>80</v>
      </c>
      <c r="K417" s="3" t="s">
        <v>1268</v>
      </c>
      <c r="L417" s="4" t="s">
        <v>36</v>
      </c>
    </row>
    <row r="418" spans="1:12" x14ac:dyDescent="0.3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2" t="s">
        <v>36</v>
      </c>
    </row>
    <row r="419" spans="1:12" x14ac:dyDescent="0.3">
      <c r="A419" s="3" t="s">
        <v>1272</v>
      </c>
      <c r="B419" s="3" t="s">
        <v>44</v>
      </c>
      <c r="C419" s="3" t="s">
        <v>83</v>
      </c>
      <c r="D419" s="3" t="s">
        <v>24</v>
      </c>
      <c r="E419" s="3">
        <v>33</v>
      </c>
      <c r="F419" s="3" t="s">
        <v>39</v>
      </c>
      <c r="G419" s="3" t="s">
        <v>32</v>
      </c>
      <c r="H419" s="3" t="s">
        <v>1273</v>
      </c>
      <c r="I419" s="3">
        <v>63416</v>
      </c>
      <c r="J419" s="3" t="s">
        <v>19</v>
      </c>
      <c r="K419" s="3" t="s">
        <v>1274</v>
      </c>
      <c r="L419" s="4" t="s">
        <v>36</v>
      </c>
    </row>
    <row r="420" spans="1:12" x14ac:dyDescent="0.3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2" t="s">
        <v>21</v>
      </c>
    </row>
    <row r="421" spans="1:12" x14ac:dyDescent="0.3">
      <c r="A421" s="3" t="s">
        <v>1278</v>
      </c>
      <c r="B421" s="3" t="s">
        <v>13</v>
      </c>
      <c r="C421" s="3" t="s">
        <v>130</v>
      </c>
      <c r="D421" s="3" t="s">
        <v>15</v>
      </c>
      <c r="E421" s="3">
        <v>36</v>
      </c>
      <c r="F421" s="3" t="s">
        <v>39</v>
      </c>
      <c r="G421" s="3" t="s">
        <v>17</v>
      </c>
      <c r="H421" s="3" t="s">
        <v>1279</v>
      </c>
      <c r="I421" s="3">
        <v>82168</v>
      </c>
      <c r="J421" s="3" t="s">
        <v>19</v>
      </c>
      <c r="K421" s="3" t="s">
        <v>1280</v>
      </c>
      <c r="L421" s="4" t="s">
        <v>21</v>
      </c>
    </row>
    <row r="422" spans="1:12" x14ac:dyDescent="0.3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2" t="s">
        <v>36</v>
      </c>
    </row>
    <row r="423" spans="1:12" x14ac:dyDescent="0.3">
      <c r="A423" s="3" t="s">
        <v>1284</v>
      </c>
      <c r="B423" s="3" t="s">
        <v>30</v>
      </c>
      <c r="C423" s="3" t="s">
        <v>90</v>
      </c>
      <c r="D423" s="3" t="s">
        <v>15</v>
      </c>
      <c r="E423" s="3">
        <v>43</v>
      </c>
      <c r="F423" s="3" t="s">
        <v>25</v>
      </c>
      <c r="G423" s="3" t="s">
        <v>32</v>
      </c>
      <c r="H423" s="3" t="s">
        <v>1285</v>
      </c>
      <c r="I423" s="3">
        <v>45200</v>
      </c>
      <c r="J423" s="3" t="s">
        <v>19</v>
      </c>
      <c r="K423" s="3" t="s">
        <v>1286</v>
      </c>
      <c r="L423" s="4" t="s">
        <v>36</v>
      </c>
    </row>
    <row r="424" spans="1:12" x14ac:dyDescent="0.3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2" t="s">
        <v>36</v>
      </c>
    </row>
    <row r="425" spans="1:12" x14ac:dyDescent="0.3">
      <c r="A425" s="3" t="s">
        <v>1290</v>
      </c>
      <c r="B425" s="3" t="s">
        <v>13</v>
      </c>
      <c r="C425" s="3" t="s">
        <v>63</v>
      </c>
      <c r="D425" s="3" t="s">
        <v>15</v>
      </c>
      <c r="E425" s="3">
        <v>24</v>
      </c>
      <c r="F425" s="3" t="s">
        <v>31</v>
      </c>
      <c r="G425" s="3" t="s">
        <v>17</v>
      </c>
      <c r="H425" s="3" t="s">
        <v>1291</v>
      </c>
      <c r="I425" s="3">
        <v>57088</v>
      </c>
      <c r="J425" s="3" t="s">
        <v>19</v>
      </c>
      <c r="K425" s="3" t="s">
        <v>1292</v>
      </c>
      <c r="L425" s="4" t="s">
        <v>21</v>
      </c>
    </row>
    <row r="426" spans="1:12" x14ac:dyDescent="0.3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2" t="s">
        <v>21</v>
      </c>
    </row>
    <row r="427" spans="1:12" x14ac:dyDescent="0.3">
      <c r="A427" s="3" t="s">
        <v>1296</v>
      </c>
      <c r="B427" s="3" t="s">
        <v>71</v>
      </c>
      <c r="C427" s="3" t="s">
        <v>90</v>
      </c>
      <c r="D427" s="3" t="s">
        <v>15</v>
      </c>
      <c r="E427" s="3">
        <v>48</v>
      </c>
      <c r="F427" s="3" t="s">
        <v>25</v>
      </c>
      <c r="G427" s="3" t="s">
        <v>17</v>
      </c>
      <c r="H427" s="3" t="s">
        <v>1297</v>
      </c>
      <c r="I427" s="3">
        <v>117192</v>
      </c>
      <c r="J427" s="3" t="s">
        <v>60</v>
      </c>
      <c r="K427" s="3" t="s">
        <v>1298</v>
      </c>
      <c r="L427" s="4" t="s">
        <v>21</v>
      </c>
    </row>
    <row r="428" spans="1:12" x14ac:dyDescent="0.3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2" t="s">
        <v>36</v>
      </c>
    </row>
    <row r="429" spans="1:12" x14ac:dyDescent="0.3">
      <c r="A429" s="3" t="s">
        <v>1302</v>
      </c>
      <c r="B429" s="3" t="s">
        <v>30</v>
      </c>
      <c r="C429" s="3" t="s">
        <v>63</v>
      </c>
      <c r="D429" s="3" t="s">
        <v>15</v>
      </c>
      <c r="E429" s="3">
        <v>36</v>
      </c>
      <c r="F429" s="3" t="s">
        <v>16</v>
      </c>
      <c r="G429" s="3" t="s">
        <v>40</v>
      </c>
      <c r="H429" s="3" t="s">
        <v>687</v>
      </c>
      <c r="I429" s="3">
        <v>116951</v>
      </c>
      <c r="J429" s="3" t="s">
        <v>80</v>
      </c>
      <c r="K429" s="3" t="s">
        <v>1303</v>
      </c>
      <c r="L429" s="4" t="s">
        <v>21</v>
      </c>
    </row>
    <row r="430" spans="1:12" x14ac:dyDescent="0.3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2" t="s">
        <v>36</v>
      </c>
    </row>
    <row r="431" spans="1:12" x14ac:dyDescent="0.3">
      <c r="A431" s="3" t="s">
        <v>1306</v>
      </c>
      <c r="B431" s="3" t="s">
        <v>13</v>
      </c>
      <c r="C431" s="3" t="s">
        <v>90</v>
      </c>
      <c r="D431" s="3" t="s">
        <v>15</v>
      </c>
      <c r="E431" s="3">
        <v>45</v>
      </c>
      <c r="F431" s="3" t="s">
        <v>50</v>
      </c>
      <c r="G431" s="3" t="s">
        <v>17</v>
      </c>
      <c r="H431" s="3" t="s">
        <v>1307</v>
      </c>
      <c r="I431" s="3">
        <v>68220</v>
      </c>
      <c r="J431" s="3" t="s">
        <v>80</v>
      </c>
      <c r="K431" s="3" t="s">
        <v>1308</v>
      </c>
      <c r="L431" s="4" t="s">
        <v>21</v>
      </c>
    </row>
    <row r="432" spans="1:12" x14ac:dyDescent="0.3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2" t="s">
        <v>36</v>
      </c>
    </row>
    <row r="433" spans="1:12" x14ac:dyDescent="0.3">
      <c r="A433" s="3" t="s">
        <v>1312</v>
      </c>
      <c r="B433" s="3" t="s">
        <v>94</v>
      </c>
      <c r="C433" s="3" t="s">
        <v>45</v>
      </c>
      <c r="D433" s="3" t="s">
        <v>15</v>
      </c>
      <c r="E433" s="3">
        <v>54</v>
      </c>
      <c r="F433" s="3" t="s">
        <v>50</v>
      </c>
      <c r="G433" s="3" t="s">
        <v>26</v>
      </c>
      <c r="H433" s="3" t="s">
        <v>1313</v>
      </c>
      <c r="I433" s="3">
        <v>68028</v>
      </c>
      <c r="J433" s="3" t="s">
        <v>19</v>
      </c>
      <c r="K433" s="3" t="s">
        <v>1314</v>
      </c>
      <c r="L433" s="4" t="s">
        <v>36</v>
      </c>
    </row>
    <row r="434" spans="1:12" x14ac:dyDescent="0.3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2" t="s">
        <v>36</v>
      </c>
    </row>
    <row r="435" spans="1:12" x14ac:dyDescent="0.3">
      <c r="A435" s="3" t="s">
        <v>1318</v>
      </c>
      <c r="B435" s="3" t="s">
        <v>44</v>
      </c>
      <c r="C435" s="3" t="s">
        <v>130</v>
      </c>
      <c r="D435" s="3" t="s">
        <v>24</v>
      </c>
      <c r="E435" s="3">
        <v>53</v>
      </c>
      <c r="F435" s="3" t="s">
        <v>16</v>
      </c>
      <c r="G435" s="3" t="s">
        <v>108</v>
      </c>
      <c r="H435" s="3" t="s">
        <v>1319</v>
      </c>
      <c r="I435" s="3">
        <v>37701</v>
      </c>
      <c r="J435" s="3" t="s">
        <v>34</v>
      </c>
      <c r="K435" s="3" t="s">
        <v>1320</v>
      </c>
      <c r="L435" s="4" t="s">
        <v>36</v>
      </c>
    </row>
    <row r="436" spans="1:12" x14ac:dyDescent="0.3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2" t="s">
        <v>36</v>
      </c>
    </row>
    <row r="437" spans="1:12" x14ac:dyDescent="0.3">
      <c r="A437" s="3" t="s">
        <v>1323</v>
      </c>
      <c r="B437" s="3" t="s">
        <v>143</v>
      </c>
      <c r="C437" s="3" t="s">
        <v>90</v>
      </c>
      <c r="D437" s="3" t="s">
        <v>15</v>
      </c>
      <c r="E437" s="3">
        <v>41</v>
      </c>
      <c r="F437" s="3" t="s">
        <v>25</v>
      </c>
      <c r="G437" s="3" t="s">
        <v>17</v>
      </c>
      <c r="H437" s="3" t="s">
        <v>1041</v>
      </c>
      <c r="I437" s="3">
        <v>83188</v>
      </c>
      <c r="J437" s="3" t="s">
        <v>80</v>
      </c>
      <c r="K437" s="3" t="s">
        <v>1324</v>
      </c>
      <c r="L437" s="4" t="s">
        <v>21</v>
      </c>
    </row>
    <row r="438" spans="1:12" x14ac:dyDescent="0.3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2" t="s">
        <v>36</v>
      </c>
    </row>
    <row r="439" spans="1:12" x14ac:dyDescent="0.3">
      <c r="A439" s="3" t="s">
        <v>1328</v>
      </c>
      <c r="B439" s="3" t="s">
        <v>94</v>
      </c>
      <c r="C439" s="3" t="s">
        <v>130</v>
      </c>
      <c r="D439" s="3" t="s">
        <v>24</v>
      </c>
      <c r="E439" s="3">
        <v>52</v>
      </c>
      <c r="F439" s="3" t="s">
        <v>39</v>
      </c>
      <c r="G439" s="3" t="s">
        <v>17</v>
      </c>
      <c r="H439" s="3" t="s">
        <v>1329</v>
      </c>
      <c r="I439" s="3">
        <v>80964</v>
      </c>
      <c r="J439" s="3" t="s">
        <v>60</v>
      </c>
      <c r="K439" s="3" t="s">
        <v>1330</v>
      </c>
      <c r="L439" s="4" t="s">
        <v>21</v>
      </c>
    </row>
    <row r="440" spans="1:12" x14ac:dyDescent="0.3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2" t="s">
        <v>36</v>
      </c>
    </row>
    <row r="441" spans="1:12" x14ac:dyDescent="0.3">
      <c r="A441" s="3" t="s">
        <v>1334</v>
      </c>
      <c r="B441" s="3" t="s">
        <v>94</v>
      </c>
      <c r="C441" s="3" t="s">
        <v>83</v>
      </c>
      <c r="D441" s="3" t="s">
        <v>15</v>
      </c>
      <c r="E441" s="3">
        <v>29</v>
      </c>
      <c r="F441" s="3" t="s">
        <v>16</v>
      </c>
      <c r="G441" s="3" t="s">
        <v>32</v>
      </c>
      <c r="H441" s="3" t="s">
        <v>819</v>
      </c>
      <c r="I441" s="3">
        <v>71247</v>
      </c>
      <c r="J441" s="3" t="s">
        <v>60</v>
      </c>
      <c r="K441" s="3" t="s">
        <v>1335</v>
      </c>
      <c r="L441" s="4" t="s">
        <v>36</v>
      </c>
    </row>
    <row r="442" spans="1:12" x14ac:dyDescent="0.3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2" t="s">
        <v>36</v>
      </c>
    </row>
    <row r="443" spans="1:12" x14ac:dyDescent="0.3">
      <c r="A443" s="3" t="s">
        <v>1339</v>
      </c>
      <c r="B443" s="3" t="s">
        <v>44</v>
      </c>
      <c r="C443" s="3" t="s">
        <v>63</v>
      </c>
      <c r="D443" s="3" t="s">
        <v>24</v>
      </c>
      <c r="E443" s="3">
        <v>47</v>
      </c>
      <c r="F443" s="3" t="s">
        <v>31</v>
      </c>
      <c r="G443" s="3" t="s">
        <v>40</v>
      </c>
      <c r="H443" s="3" t="s">
        <v>1340</v>
      </c>
      <c r="I443" s="3">
        <v>77368</v>
      </c>
      <c r="J443" s="3" t="s">
        <v>19</v>
      </c>
      <c r="K443" s="3" t="s">
        <v>1341</v>
      </c>
      <c r="L443" s="4" t="s">
        <v>21</v>
      </c>
    </row>
    <row r="444" spans="1:12" x14ac:dyDescent="0.3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2" t="s">
        <v>36</v>
      </c>
    </row>
    <row r="445" spans="1:12" x14ac:dyDescent="0.3">
      <c r="A445" s="3" t="s">
        <v>1345</v>
      </c>
      <c r="B445" s="3" t="s">
        <v>44</v>
      </c>
      <c r="C445" s="3" t="s">
        <v>14</v>
      </c>
      <c r="D445" s="3" t="s">
        <v>24</v>
      </c>
      <c r="E445" s="3">
        <v>40</v>
      </c>
      <c r="F445" s="3" t="s">
        <v>16</v>
      </c>
      <c r="G445" s="3" t="s">
        <v>40</v>
      </c>
      <c r="H445" s="3" t="s">
        <v>1346</v>
      </c>
      <c r="I445" s="3">
        <v>66499</v>
      </c>
      <c r="J445" s="3" t="s">
        <v>80</v>
      </c>
      <c r="K445" s="3" t="s">
        <v>1347</v>
      </c>
      <c r="L445" s="4" t="s">
        <v>21</v>
      </c>
    </row>
    <row r="446" spans="1:12" x14ac:dyDescent="0.3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2" t="s">
        <v>36</v>
      </c>
    </row>
    <row r="447" spans="1:12" x14ac:dyDescent="0.3">
      <c r="A447" s="3" t="s">
        <v>1351</v>
      </c>
      <c r="B447" s="3" t="s">
        <v>54</v>
      </c>
      <c r="C447" s="3" t="s">
        <v>78</v>
      </c>
      <c r="D447" s="3" t="s">
        <v>15</v>
      </c>
      <c r="E447" s="3">
        <v>49</v>
      </c>
      <c r="F447" s="3" t="s">
        <v>25</v>
      </c>
      <c r="G447" s="3" t="s">
        <v>32</v>
      </c>
      <c r="H447" s="3" t="s">
        <v>1352</v>
      </c>
      <c r="I447" s="3">
        <v>98144</v>
      </c>
      <c r="J447" s="3" t="s">
        <v>65</v>
      </c>
      <c r="K447" s="3" t="s">
        <v>1353</v>
      </c>
      <c r="L447" s="4" t="s">
        <v>36</v>
      </c>
    </row>
    <row r="448" spans="1:12" x14ac:dyDescent="0.3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2" t="s">
        <v>21</v>
      </c>
    </row>
    <row r="449" spans="1:12" x14ac:dyDescent="0.3">
      <c r="A449" s="3" t="s">
        <v>1357</v>
      </c>
      <c r="B449" s="3" t="s">
        <v>94</v>
      </c>
      <c r="C449" s="3" t="s">
        <v>130</v>
      </c>
      <c r="D449" s="3" t="s">
        <v>15</v>
      </c>
      <c r="E449" s="3">
        <v>24</v>
      </c>
      <c r="F449" s="3" t="s">
        <v>16</v>
      </c>
      <c r="G449" s="3" t="s">
        <v>32</v>
      </c>
      <c r="H449" s="3" t="s">
        <v>1358</v>
      </c>
      <c r="I449" s="3">
        <v>42829</v>
      </c>
      <c r="J449" s="3" t="s">
        <v>80</v>
      </c>
      <c r="K449" s="3" t="s">
        <v>1359</v>
      </c>
      <c r="L449" s="4" t="s">
        <v>21</v>
      </c>
    </row>
    <row r="450" spans="1:12" x14ac:dyDescent="0.3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2" t="s">
        <v>36</v>
      </c>
    </row>
    <row r="451" spans="1:12" x14ac:dyDescent="0.3">
      <c r="A451" s="3" t="s">
        <v>1363</v>
      </c>
      <c r="B451" s="3" t="s">
        <v>49</v>
      </c>
      <c r="C451" s="3" t="s">
        <v>78</v>
      </c>
      <c r="D451" s="3" t="s">
        <v>15</v>
      </c>
      <c r="E451" s="3">
        <v>48</v>
      </c>
      <c r="F451" s="3" t="s">
        <v>31</v>
      </c>
      <c r="G451" s="3" t="s">
        <v>108</v>
      </c>
      <c r="H451" s="3" t="s">
        <v>1364</v>
      </c>
      <c r="I451" s="3">
        <v>110269</v>
      </c>
      <c r="J451" s="3" t="s">
        <v>65</v>
      </c>
      <c r="K451" s="3" t="s">
        <v>1365</v>
      </c>
      <c r="L451" s="4" t="s">
        <v>36</v>
      </c>
    </row>
    <row r="452" spans="1:12" x14ac:dyDescent="0.3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2" t="s">
        <v>36</v>
      </c>
    </row>
    <row r="453" spans="1:12" x14ac:dyDescent="0.3">
      <c r="A453" s="3" t="s">
        <v>1369</v>
      </c>
      <c r="B453" s="3" t="s">
        <v>49</v>
      </c>
      <c r="C453" s="3" t="s">
        <v>23</v>
      </c>
      <c r="D453" s="3" t="s">
        <v>15</v>
      </c>
      <c r="E453" s="3">
        <v>25</v>
      </c>
      <c r="F453" s="3" t="s">
        <v>50</v>
      </c>
      <c r="G453" s="3" t="s">
        <v>108</v>
      </c>
      <c r="H453" s="3" t="s">
        <v>1370</v>
      </c>
      <c r="I453" s="3">
        <v>73245</v>
      </c>
      <c r="J453" s="3" t="s">
        <v>34</v>
      </c>
      <c r="K453" s="3" t="s">
        <v>1371</v>
      </c>
      <c r="L453" s="4" t="s">
        <v>36</v>
      </c>
    </row>
    <row r="454" spans="1:12" x14ac:dyDescent="0.3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2" t="s">
        <v>36</v>
      </c>
    </row>
    <row r="455" spans="1:12" x14ac:dyDescent="0.3">
      <c r="A455" s="3" t="s">
        <v>1375</v>
      </c>
      <c r="B455" s="3" t="s">
        <v>30</v>
      </c>
      <c r="C455" s="3" t="s">
        <v>90</v>
      </c>
      <c r="D455" s="3" t="s">
        <v>24</v>
      </c>
      <c r="E455" s="3">
        <v>35</v>
      </c>
      <c r="F455" s="3" t="s">
        <v>39</v>
      </c>
      <c r="G455" s="3" t="s">
        <v>40</v>
      </c>
      <c r="H455" s="3" t="s">
        <v>1376</v>
      </c>
      <c r="I455" s="3">
        <v>79751</v>
      </c>
      <c r="J455" s="3" t="s">
        <v>19</v>
      </c>
      <c r="K455" s="3" t="s">
        <v>1377</v>
      </c>
      <c r="L455" s="4" t="s">
        <v>21</v>
      </c>
    </row>
    <row r="456" spans="1:12" x14ac:dyDescent="0.3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2" t="s">
        <v>21</v>
      </c>
    </row>
    <row r="457" spans="1:12" x14ac:dyDescent="0.3">
      <c r="A457" s="3" t="s">
        <v>1381</v>
      </c>
      <c r="B457" s="3" t="s">
        <v>143</v>
      </c>
      <c r="C457" s="3" t="s">
        <v>78</v>
      </c>
      <c r="D457" s="3" t="s">
        <v>24</v>
      </c>
      <c r="E457" s="3">
        <v>28</v>
      </c>
      <c r="F457" s="3" t="s">
        <v>39</v>
      </c>
      <c r="G457" s="3" t="s">
        <v>26</v>
      </c>
      <c r="H457" s="3" t="s">
        <v>1382</v>
      </c>
      <c r="I457" s="3">
        <v>51178</v>
      </c>
      <c r="J457" s="3" t="s">
        <v>19</v>
      </c>
      <c r="K457" s="3" t="s">
        <v>1383</v>
      </c>
      <c r="L457" s="4" t="s">
        <v>21</v>
      </c>
    </row>
    <row r="458" spans="1:12" x14ac:dyDescent="0.3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2" t="s">
        <v>21</v>
      </c>
    </row>
    <row r="459" spans="1:12" x14ac:dyDescent="0.3">
      <c r="A459" s="3" t="s">
        <v>1387</v>
      </c>
      <c r="B459" s="3" t="s">
        <v>38</v>
      </c>
      <c r="C459" s="3" t="s">
        <v>78</v>
      </c>
      <c r="D459" s="3" t="s">
        <v>15</v>
      </c>
      <c r="E459" s="3">
        <v>32</v>
      </c>
      <c r="F459" s="3" t="s">
        <v>16</v>
      </c>
      <c r="G459" s="3" t="s">
        <v>26</v>
      </c>
      <c r="H459" s="3" t="s">
        <v>1388</v>
      </c>
      <c r="I459" s="3">
        <v>98394</v>
      </c>
      <c r="J459" s="3" t="s">
        <v>19</v>
      </c>
      <c r="K459" s="3" t="s">
        <v>1389</v>
      </c>
      <c r="L459" s="4" t="s">
        <v>36</v>
      </c>
    </row>
    <row r="460" spans="1:12" x14ac:dyDescent="0.3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2" t="s">
        <v>21</v>
      </c>
    </row>
    <row r="461" spans="1:12" x14ac:dyDescent="0.3">
      <c r="A461" s="3" t="s">
        <v>1393</v>
      </c>
      <c r="B461" s="3" t="s">
        <v>30</v>
      </c>
      <c r="C461" s="3" t="s">
        <v>45</v>
      </c>
      <c r="D461" s="3" t="s">
        <v>24</v>
      </c>
      <c r="E461" s="3">
        <v>32</v>
      </c>
      <c r="F461" s="3" t="s">
        <v>31</v>
      </c>
      <c r="G461" s="3" t="s">
        <v>17</v>
      </c>
      <c r="H461" s="3" t="s">
        <v>460</v>
      </c>
      <c r="I461" s="3">
        <v>63176</v>
      </c>
      <c r="J461" s="3" t="s">
        <v>34</v>
      </c>
      <c r="K461" s="3" t="s">
        <v>1394</v>
      </c>
      <c r="L461" s="4" t="s">
        <v>21</v>
      </c>
    </row>
    <row r="462" spans="1:12" x14ac:dyDescent="0.3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2" t="s">
        <v>36</v>
      </c>
    </row>
    <row r="463" spans="1:12" x14ac:dyDescent="0.3">
      <c r="A463" s="3" t="s">
        <v>1398</v>
      </c>
      <c r="B463" s="3" t="s">
        <v>143</v>
      </c>
      <c r="C463" s="3" t="s">
        <v>90</v>
      </c>
      <c r="D463" s="3" t="s">
        <v>15</v>
      </c>
      <c r="E463" s="3">
        <v>42</v>
      </c>
      <c r="F463" s="3" t="s">
        <v>39</v>
      </c>
      <c r="G463" s="3" t="s">
        <v>17</v>
      </c>
      <c r="H463" s="3" t="s">
        <v>1399</v>
      </c>
      <c r="I463" s="3">
        <v>70836</v>
      </c>
      <c r="J463" s="3" t="s">
        <v>65</v>
      </c>
      <c r="K463" s="3" t="s">
        <v>1400</v>
      </c>
      <c r="L463" s="4" t="s">
        <v>36</v>
      </c>
    </row>
    <row r="464" spans="1:12" x14ac:dyDescent="0.3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2" t="s">
        <v>21</v>
      </c>
    </row>
    <row r="465" spans="1:12" x14ac:dyDescent="0.3">
      <c r="A465" s="3" t="s">
        <v>1404</v>
      </c>
      <c r="B465" s="3" t="s">
        <v>44</v>
      </c>
      <c r="C465" s="3" t="s">
        <v>165</v>
      </c>
      <c r="D465" s="3" t="s">
        <v>24</v>
      </c>
      <c r="E465" s="3">
        <v>23</v>
      </c>
      <c r="F465" s="3" t="s">
        <v>16</v>
      </c>
      <c r="G465" s="3" t="s">
        <v>40</v>
      </c>
      <c r="H465" s="3" t="s">
        <v>1405</v>
      </c>
      <c r="I465" s="3">
        <v>117635</v>
      </c>
      <c r="J465" s="3" t="s">
        <v>34</v>
      </c>
      <c r="K465" s="3" t="s">
        <v>1406</v>
      </c>
      <c r="L465" s="4" t="s">
        <v>21</v>
      </c>
    </row>
    <row r="466" spans="1:12" x14ac:dyDescent="0.3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2" t="s">
        <v>36</v>
      </c>
    </row>
    <row r="467" spans="1:12" x14ac:dyDescent="0.3">
      <c r="A467" s="3" t="s">
        <v>1410</v>
      </c>
      <c r="B467" s="3" t="s">
        <v>30</v>
      </c>
      <c r="C467" s="3" t="s">
        <v>95</v>
      </c>
      <c r="D467" s="3" t="s">
        <v>24</v>
      </c>
      <c r="E467" s="3">
        <v>39</v>
      </c>
      <c r="F467" s="3" t="s">
        <v>16</v>
      </c>
      <c r="G467" s="3" t="s">
        <v>108</v>
      </c>
      <c r="H467" s="3" t="s">
        <v>1411</v>
      </c>
      <c r="I467" s="3">
        <v>76443</v>
      </c>
      <c r="J467" s="3" t="s">
        <v>65</v>
      </c>
      <c r="K467" s="3" t="s">
        <v>1412</v>
      </c>
      <c r="L467" s="4" t="s">
        <v>36</v>
      </c>
    </row>
    <row r="468" spans="1:12" x14ac:dyDescent="0.3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2" t="s">
        <v>21</v>
      </c>
    </row>
    <row r="469" spans="1:12" x14ac:dyDescent="0.3">
      <c r="A469" s="3" t="s">
        <v>1416</v>
      </c>
      <c r="B469" s="3" t="s">
        <v>30</v>
      </c>
      <c r="C469" s="3" t="s">
        <v>83</v>
      </c>
      <c r="D469" s="3" t="s">
        <v>24</v>
      </c>
      <c r="E469" s="3">
        <v>60</v>
      </c>
      <c r="F469" s="3" t="s">
        <v>16</v>
      </c>
      <c r="G469" s="3" t="s">
        <v>40</v>
      </c>
      <c r="H469" s="3" t="s">
        <v>1417</v>
      </c>
      <c r="I469" s="3">
        <v>83719</v>
      </c>
      <c r="J469" s="3" t="s">
        <v>34</v>
      </c>
      <c r="K469" s="3" t="s">
        <v>1418</v>
      </c>
      <c r="L469" s="4" t="s">
        <v>36</v>
      </c>
    </row>
    <row r="470" spans="1:12" x14ac:dyDescent="0.3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2" t="s">
        <v>21</v>
      </c>
    </row>
    <row r="471" spans="1:12" x14ac:dyDescent="0.3">
      <c r="A471" s="3" t="s">
        <v>1422</v>
      </c>
      <c r="B471" s="3" t="s">
        <v>94</v>
      </c>
      <c r="C471" s="3" t="s">
        <v>63</v>
      </c>
      <c r="D471" s="3" t="s">
        <v>24</v>
      </c>
      <c r="E471" s="3">
        <v>60</v>
      </c>
      <c r="F471" s="3" t="s">
        <v>50</v>
      </c>
      <c r="G471" s="3" t="s">
        <v>26</v>
      </c>
      <c r="H471" s="3" t="s">
        <v>1423</v>
      </c>
      <c r="I471" s="3">
        <v>113605</v>
      </c>
      <c r="J471" s="3" t="s">
        <v>60</v>
      </c>
      <c r="K471" s="3" t="s">
        <v>1424</v>
      </c>
      <c r="L471" s="4" t="s">
        <v>21</v>
      </c>
    </row>
    <row r="472" spans="1:12" x14ac:dyDescent="0.3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2" t="s">
        <v>21</v>
      </c>
    </row>
    <row r="473" spans="1:12" x14ac:dyDescent="0.3">
      <c r="A473" s="3" t="s">
        <v>1427</v>
      </c>
      <c r="B473" s="3" t="s">
        <v>71</v>
      </c>
      <c r="C473" s="3" t="s">
        <v>23</v>
      </c>
      <c r="D473" s="3" t="s">
        <v>24</v>
      </c>
      <c r="E473" s="3">
        <v>53</v>
      </c>
      <c r="F473" s="3" t="s">
        <v>50</v>
      </c>
      <c r="G473" s="3" t="s">
        <v>108</v>
      </c>
      <c r="H473" s="3" t="s">
        <v>1428</v>
      </c>
      <c r="I473" s="3">
        <v>56690</v>
      </c>
      <c r="J473" s="3" t="s">
        <v>60</v>
      </c>
      <c r="K473" s="3" t="s">
        <v>1429</v>
      </c>
      <c r="L473" s="4" t="s">
        <v>21</v>
      </c>
    </row>
    <row r="474" spans="1:12" x14ac:dyDescent="0.3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2" t="s">
        <v>21</v>
      </c>
    </row>
    <row r="475" spans="1:12" x14ac:dyDescent="0.3">
      <c r="A475" s="3" t="s">
        <v>1432</v>
      </c>
      <c r="B475" s="3" t="s">
        <v>30</v>
      </c>
      <c r="C475" s="3" t="s">
        <v>165</v>
      </c>
      <c r="D475" s="3" t="s">
        <v>24</v>
      </c>
      <c r="E475" s="3">
        <v>57</v>
      </c>
      <c r="F475" s="3" t="s">
        <v>16</v>
      </c>
      <c r="G475" s="3" t="s">
        <v>40</v>
      </c>
      <c r="H475" s="3" t="s">
        <v>1433</v>
      </c>
      <c r="I475" s="3">
        <v>83252</v>
      </c>
      <c r="J475" s="3" t="s">
        <v>60</v>
      </c>
      <c r="K475" s="3" t="s">
        <v>1434</v>
      </c>
      <c r="L475" s="4" t="s">
        <v>21</v>
      </c>
    </row>
    <row r="476" spans="1:12" x14ac:dyDescent="0.3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2" t="s">
        <v>36</v>
      </c>
    </row>
    <row r="477" spans="1:12" x14ac:dyDescent="0.3">
      <c r="A477" s="3" t="s">
        <v>1437</v>
      </c>
      <c r="B477" s="3" t="s">
        <v>13</v>
      </c>
      <c r="C477" s="3" t="s">
        <v>90</v>
      </c>
      <c r="D477" s="3" t="s">
        <v>24</v>
      </c>
      <c r="E477" s="3">
        <v>58</v>
      </c>
      <c r="F477" s="3" t="s">
        <v>31</v>
      </c>
      <c r="G477" s="3" t="s">
        <v>17</v>
      </c>
      <c r="H477" s="3" t="s">
        <v>1438</v>
      </c>
      <c r="I477" s="3">
        <v>51367</v>
      </c>
      <c r="J477" s="3" t="s">
        <v>65</v>
      </c>
      <c r="K477" s="3" t="s">
        <v>1439</v>
      </c>
      <c r="L477" s="4" t="s">
        <v>21</v>
      </c>
    </row>
    <row r="478" spans="1:12" x14ac:dyDescent="0.3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2" t="s">
        <v>21</v>
      </c>
    </row>
    <row r="479" spans="1:12" x14ac:dyDescent="0.3">
      <c r="A479" s="3" t="s">
        <v>1443</v>
      </c>
      <c r="B479" s="3" t="s">
        <v>44</v>
      </c>
      <c r="C479" s="3" t="s">
        <v>130</v>
      </c>
      <c r="D479" s="3" t="s">
        <v>24</v>
      </c>
      <c r="E479" s="3">
        <v>44</v>
      </c>
      <c r="F479" s="3" t="s">
        <v>50</v>
      </c>
      <c r="G479" s="3" t="s">
        <v>40</v>
      </c>
      <c r="H479" s="3" t="s">
        <v>1000</v>
      </c>
      <c r="I479" s="3">
        <v>47411</v>
      </c>
      <c r="J479" s="3" t="s">
        <v>60</v>
      </c>
      <c r="K479" s="3" t="s">
        <v>1444</v>
      </c>
      <c r="L479" s="4" t="s">
        <v>36</v>
      </c>
    </row>
    <row r="480" spans="1:12" x14ac:dyDescent="0.3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2" t="s">
        <v>36</v>
      </c>
    </row>
    <row r="481" spans="1:12" x14ac:dyDescent="0.3">
      <c r="A481" s="3" t="s">
        <v>1448</v>
      </c>
      <c r="B481" s="3" t="s">
        <v>49</v>
      </c>
      <c r="C481" s="3" t="s">
        <v>165</v>
      </c>
      <c r="D481" s="3" t="s">
        <v>24</v>
      </c>
      <c r="E481" s="3">
        <v>58</v>
      </c>
      <c r="F481" s="3" t="s">
        <v>39</v>
      </c>
      <c r="G481" s="3" t="s">
        <v>40</v>
      </c>
      <c r="H481" s="3" t="s">
        <v>1449</v>
      </c>
      <c r="I481" s="3">
        <v>81285</v>
      </c>
      <c r="J481" s="3" t="s">
        <v>34</v>
      </c>
      <c r="K481" s="3" t="s">
        <v>1450</v>
      </c>
      <c r="L481" s="4" t="s">
        <v>21</v>
      </c>
    </row>
    <row r="482" spans="1:12" x14ac:dyDescent="0.3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2" t="s">
        <v>21</v>
      </c>
    </row>
    <row r="483" spans="1:12" x14ac:dyDescent="0.3">
      <c r="A483" s="3" t="s">
        <v>1454</v>
      </c>
      <c r="B483" s="3" t="s">
        <v>13</v>
      </c>
      <c r="C483" s="3" t="s">
        <v>83</v>
      </c>
      <c r="D483" s="3" t="s">
        <v>24</v>
      </c>
      <c r="E483" s="3">
        <v>48</v>
      </c>
      <c r="F483" s="3" t="s">
        <v>39</v>
      </c>
      <c r="G483" s="3" t="s">
        <v>108</v>
      </c>
      <c r="H483" s="3" t="s">
        <v>1455</v>
      </c>
      <c r="I483" s="3">
        <v>88033</v>
      </c>
      <c r="J483" s="3" t="s">
        <v>80</v>
      </c>
      <c r="K483" s="3" t="s">
        <v>1456</v>
      </c>
      <c r="L483" s="4" t="s">
        <v>21</v>
      </c>
    </row>
    <row r="484" spans="1:12" x14ac:dyDescent="0.3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2" t="s">
        <v>36</v>
      </c>
    </row>
    <row r="485" spans="1:12" x14ac:dyDescent="0.3">
      <c r="A485" s="3" t="s">
        <v>1460</v>
      </c>
      <c r="B485" s="3" t="s">
        <v>143</v>
      </c>
      <c r="C485" s="3" t="s">
        <v>45</v>
      </c>
      <c r="D485" s="3" t="s">
        <v>15</v>
      </c>
      <c r="E485" s="3">
        <v>27</v>
      </c>
      <c r="F485" s="3" t="s">
        <v>25</v>
      </c>
      <c r="G485" s="3" t="s">
        <v>40</v>
      </c>
      <c r="H485" s="3" t="s">
        <v>1461</v>
      </c>
      <c r="I485" s="3">
        <v>48563</v>
      </c>
      <c r="J485" s="3" t="s">
        <v>34</v>
      </c>
      <c r="K485" s="3" t="s">
        <v>1462</v>
      </c>
      <c r="L485" s="4" t="s">
        <v>36</v>
      </c>
    </row>
    <row r="486" spans="1:12" x14ac:dyDescent="0.3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2" t="s">
        <v>21</v>
      </c>
    </row>
    <row r="487" spans="1:12" x14ac:dyDescent="0.3">
      <c r="A487" s="3" t="s">
        <v>1466</v>
      </c>
      <c r="B487" s="3" t="s">
        <v>94</v>
      </c>
      <c r="C487" s="3" t="s">
        <v>63</v>
      </c>
      <c r="D487" s="3" t="s">
        <v>24</v>
      </c>
      <c r="E487" s="3">
        <v>39</v>
      </c>
      <c r="F487" s="3" t="s">
        <v>25</v>
      </c>
      <c r="G487" s="3" t="s">
        <v>32</v>
      </c>
      <c r="H487" s="3" t="s">
        <v>1467</v>
      </c>
      <c r="I487" s="3">
        <v>44271</v>
      </c>
      <c r="J487" s="3" t="s">
        <v>34</v>
      </c>
      <c r="K487" s="3" t="s">
        <v>1468</v>
      </c>
      <c r="L487" s="4" t="s">
        <v>36</v>
      </c>
    </row>
    <row r="488" spans="1:12" x14ac:dyDescent="0.3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2" t="s">
        <v>21</v>
      </c>
    </row>
    <row r="489" spans="1:12" x14ac:dyDescent="0.3">
      <c r="A489" s="3" t="s">
        <v>1472</v>
      </c>
      <c r="B489" s="3" t="s">
        <v>71</v>
      </c>
      <c r="C489" s="3" t="s">
        <v>63</v>
      </c>
      <c r="D489" s="3" t="s">
        <v>24</v>
      </c>
      <c r="E489" s="3">
        <v>22</v>
      </c>
      <c r="F489" s="3" t="s">
        <v>25</v>
      </c>
      <c r="G489" s="3" t="s">
        <v>32</v>
      </c>
      <c r="H489" s="3" t="s">
        <v>1473</v>
      </c>
      <c r="I489" s="3">
        <v>56106</v>
      </c>
      <c r="J489" s="3" t="s">
        <v>19</v>
      </c>
      <c r="K489" s="3" t="s">
        <v>1474</v>
      </c>
      <c r="L489" s="4" t="s">
        <v>36</v>
      </c>
    </row>
    <row r="490" spans="1:12" x14ac:dyDescent="0.3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2" t="s">
        <v>36</v>
      </c>
    </row>
    <row r="491" spans="1:12" x14ac:dyDescent="0.3">
      <c r="A491" s="3" t="s">
        <v>1477</v>
      </c>
      <c r="B491" s="3" t="s">
        <v>71</v>
      </c>
      <c r="C491" s="3" t="s">
        <v>130</v>
      </c>
      <c r="D491" s="3" t="s">
        <v>24</v>
      </c>
      <c r="E491" s="3">
        <v>45</v>
      </c>
      <c r="F491" s="3" t="s">
        <v>50</v>
      </c>
      <c r="G491" s="3" t="s">
        <v>40</v>
      </c>
      <c r="H491" s="3" t="s">
        <v>1478</v>
      </c>
      <c r="I491" s="3">
        <v>105710</v>
      </c>
      <c r="J491" s="3" t="s">
        <v>80</v>
      </c>
      <c r="K491" s="3" t="s">
        <v>1479</v>
      </c>
      <c r="L491" s="4" t="s">
        <v>21</v>
      </c>
    </row>
    <row r="492" spans="1:12" x14ac:dyDescent="0.3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2" t="s">
        <v>21</v>
      </c>
    </row>
    <row r="493" spans="1:12" x14ac:dyDescent="0.3">
      <c r="A493" s="3" t="s">
        <v>1482</v>
      </c>
      <c r="B493" s="3" t="s">
        <v>38</v>
      </c>
      <c r="C493" s="3" t="s">
        <v>45</v>
      </c>
      <c r="D493" s="3" t="s">
        <v>15</v>
      </c>
      <c r="E493" s="3">
        <v>33</v>
      </c>
      <c r="F493" s="3" t="s">
        <v>16</v>
      </c>
      <c r="G493" s="3" t="s">
        <v>26</v>
      </c>
      <c r="H493" s="3" t="s">
        <v>1483</v>
      </c>
      <c r="I493" s="3">
        <v>63873</v>
      </c>
      <c r="J493" s="3" t="s">
        <v>65</v>
      </c>
      <c r="K493" s="3" t="s">
        <v>1484</v>
      </c>
      <c r="L493" s="4" t="s">
        <v>21</v>
      </c>
    </row>
    <row r="494" spans="1:12" x14ac:dyDescent="0.3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2" t="s">
        <v>36</v>
      </c>
    </row>
    <row r="495" spans="1:12" x14ac:dyDescent="0.3">
      <c r="A495" s="3" t="s">
        <v>1487</v>
      </c>
      <c r="B495" s="3" t="s">
        <v>44</v>
      </c>
      <c r="C495" s="3" t="s">
        <v>130</v>
      </c>
      <c r="D495" s="3" t="s">
        <v>15</v>
      </c>
      <c r="E495" s="3">
        <v>44</v>
      </c>
      <c r="F495" s="3" t="s">
        <v>31</v>
      </c>
      <c r="G495" s="3" t="s">
        <v>26</v>
      </c>
      <c r="H495" s="3" t="s">
        <v>1488</v>
      </c>
      <c r="I495" s="3">
        <v>59582</v>
      </c>
      <c r="J495" s="3" t="s">
        <v>80</v>
      </c>
      <c r="K495" s="3" t="s">
        <v>1489</v>
      </c>
      <c r="L495" s="4" t="s">
        <v>36</v>
      </c>
    </row>
    <row r="496" spans="1:12" x14ac:dyDescent="0.3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2" t="s">
        <v>21</v>
      </c>
    </row>
    <row r="497" spans="1:12" x14ac:dyDescent="0.3">
      <c r="A497" s="3" t="s">
        <v>1493</v>
      </c>
      <c r="B497" s="3" t="s">
        <v>49</v>
      </c>
      <c r="C497" s="3" t="s">
        <v>45</v>
      </c>
      <c r="D497" s="3" t="s">
        <v>24</v>
      </c>
      <c r="E497" s="3">
        <v>58</v>
      </c>
      <c r="F497" s="3" t="s">
        <v>16</v>
      </c>
      <c r="G497" s="3" t="s">
        <v>40</v>
      </c>
      <c r="H497" s="3" t="s">
        <v>1494</v>
      </c>
      <c r="I497" s="3">
        <v>95198</v>
      </c>
      <c r="J497" s="3" t="s">
        <v>80</v>
      </c>
      <c r="K497" s="3" t="s">
        <v>1495</v>
      </c>
      <c r="L497" s="4" t="s">
        <v>21</v>
      </c>
    </row>
    <row r="498" spans="1:12" x14ac:dyDescent="0.3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2" t="s">
        <v>36</v>
      </c>
    </row>
    <row r="499" spans="1:12" x14ac:dyDescent="0.3">
      <c r="A499" s="3" t="s">
        <v>1499</v>
      </c>
      <c r="B499" s="3" t="s">
        <v>94</v>
      </c>
      <c r="C499" s="3" t="s">
        <v>63</v>
      </c>
      <c r="D499" s="3" t="s">
        <v>15</v>
      </c>
      <c r="E499" s="3">
        <v>26</v>
      </c>
      <c r="F499" s="3" t="s">
        <v>50</v>
      </c>
      <c r="G499" s="3" t="s">
        <v>26</v>
      </c>
      <c r="H499" s="3" t="s">
        <v>1500</v>
      </c>
      <c r="I499" s="3">
        <v>41274</v>
      </c>
      <c r="J499" s="3" t="s">
        <v>80</v>
      </c>
      <c r="K499" s="3" t="s">
        <v>1501</v>
      </c>
      <c r="L499" s="4" t="s">
        <v>36</v>
      </c>
    </row>
    <row r="500" spans="1:12" x14ac:dyDescent="0.3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2" t="s">
        <v>21</v>
      </c>
    </row>
    <row r="501" spans="1:12" x14ac:dyDescent="0.3">
      <c r="A501" s="5" t="s">
        <v>1505</v>
      </c>
      <c r="B501" s="5" t="s">
        <v>38</v>
      </c>
      <c r="C501" s="5" t="s">
        <v>63</v>
      </c>
      <c r="D501" s="5" t="s">
        <v>24</v>
      </c>
      <c r="E501" s="5">
        <v>58</v>
      </c>
      <c r="F501" s="5" t="s">
        <v>39</v>
      </c>
      <c r="G501" s="5" t="s">
        <v>26</v>
      </c>
      <c r="H501" s="5" t="s">
        <v>1506</v>
      </c>
      <c r="I501" s="5">
        <v>42662</v>
      </c>
      <c r="J501" s="5" t="s">
        <v>65</v>
      </c>
      <c r="K501" s="5" t="s">
        <v>1507</v>
      </c>
      <c r="L501" s="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6FB2-BE95-481F-AFD6-AECE7288ED7F}">
  <dimension ref="A1:I12"/>
  <sheetViews>
    <sheetView workbookViewId="0">
      <selection activeCell="N21" sqref="N21"/>
    </sheetView>
  </sheetViews>
  <sheetFormatPr defaultRowHeight="14.4" x14ac:dyDescent="0.3"/>
  <cols>
    <col min="1" max="1" width="12.77734375" bestFit="1" customWidth="1"/>
    <col min="2" max="2" width="16.109375" bestFit="1" customWidth="1"/>
    <col min="3" max="3" width="8" bestFit="1" customWidth="1"/>
    <col min="4" max="4" width="15.33203125" bestFit="1" customWidth="1"/>
    <col min="5" max="5" width="10.6640625" bestFit="1" customWidth="1"/>
    <col min="6" max="6" width="13.21875" bestFit="1" customWidth="1"/>
    <col min="7" max="7" width="13" customWidth="1"/>
    <col min="9" max="9" width="10.44140625" customWidth="1"/>
  </cols>
  <sheetData>
    <row r="1" spans="1:9" x14ac:dyDescent="0.3">
      <c r="A1" s="13" t="s">
        <v>5</v>
      </c>
      <c r="B1" s="13" t="s">
        <v>1508</v>
      </c>
      <c r="C1" s="14" t="s">
        <v>40</v>
      </c>
      <c r="D1" s="30" t="s">
        <v>1509</v>
      </c>
      <c r="E1" s="31" t="s">
        <v>1510</v>
      </c>
      <c r="F1" s="32" t="s">
        <v>1511</v>
      </c>
    </row>
    <row r="2" spans="1:9" x14ac:dyDescent="0.3">
      <c r="A2" s="9" t="s">
        <v>16</v>
      </c>
      <c r="B2" s="9" t="s">
        <v>1512</v>
      </c>
      <c r="C2" s="10" t="s">
        <v>1513</v>
      </c>
      <c r="D2" s="33">
        <f>COUNTIF(Employees!$F$2:$F$501,Departments!$A2)</f>
        <v>107</v>
      </c>
      <c r="E2" s="34">
        <f>SUMIF(Employees!$F$2:$F$501,Departments!$A2,Employees!$I$2:$I$501)</f>
        <v>8453618</v>
      </c>
      <c r="F2" s="35">
        <f>AVERAGEIF(Employees!$F$2:$F$501,Departments!$A2,Employees!$I$2:$I$501)</f>
        <v>79005.775700934581</v>
      </c>
    </row>
    <row r="3" spans="1:9" x14ac:dyDescent="0.3">
      <c r="A3" s="11" t="s">
        <v>50</v>
      </c>
      <c r="B3" s="11" t="s">
        <v>1514</v>
      </c>
      <c r="C3" s="12" t="s">
        <v>1515</v>
      </c>
      <c r="D3" s="36">
        <f>COUNTIF(Employees!$F$2:$F$501,Departments!$A3)</f>
        <v>108</v>
      </c>
      <c r="E3" s="34">
        <f>SUMIF(Employees!$F$2:$F$501,Departments!$A3,Employees!$I$2:$I$501)</f>
        <v>8650884</v>
      </c>
      <c r="F3" s="35">
        <f>AVERAGEIF(Employees!$F$2:$F$501,Departments!$A3,Employees!$I$2:$I$501)</f>
        <v>80100.777777777781</v>
      </c>
    </row>
    <row r="4" spans="1:9" x14ac:dyDescent="0.3">
      <c r="A4" s="9" t="s">
        <v>25</v>
      </c>
      <c r="B4" s="9" t="s">
        <v>1516</v>
      </c>
      <c r="C4" s="10" t="s">
        <v>1517</v>
      </c>
      <c r="D4" s="36">
        <f>COUNTIF(Employees!$F$2:$F$501,Departments!$A4)</f>
        <v>83</v>
      </c>
      <c r="E4" s="34">
        <f>SUMIF(Employees!$F$2:$F$501,Departments!$A4,Employees!$I$2:$I$501)</f>
        <v>6493099</v>
      </c>
      <c r="F4" s="35">
        <f>AVERAGEIF(Employees!$F$2:$F$501,Departments!$A4,Employees!$I$2:$I$501)</f>
        <v>78230.108433734946</v>
      </c>
    </row>
    <row r="5" spans="1:9" x14ac:dyDescent="0.3">
      <c r="A5" s="11" t="s">
        <v>31</v>
      </c>
      <c r="B5" s="11" t="s">
        <v>1518</v>
      </c>
      <c r="C5" s="12" t="s">
        <v>1519</v>
      </c>
      <c r="D5" s="36">
        <f>COUNTIF(Employees!$F$2:$F$501,Departments!$A5)</f>
        <v>119</v>
      </c>
      <c r="E5" s="34">
        <f>SUMIF(Employees!$F$2:$F$501,Departments!$A5,Employees!$I$2:$I$501)</f>
        <v>9104744</v>
      </c>
      <c r="F5" s="35">
        <f>AVERAGEIF(Employees!$F$2:$F$501,Departments!$A5,Employees!$I$2:$I$501)</f>
        <v>76510.45378151261</v>
      </c>
    </row>
    <row r="6" spans="1:9" x14ac:dyDescent="0.3">
      <c r="A6" s="15" t="s">
        <v>39</v>
      </c>
      <c r="B6" s="15" t="s">
        <v>1520</v>
      </c>
      <c r="C6" s="16" t="s">
        <v>1521</v>
      </c>
      <c r="D6" s="36">
        <f>COUNTIF(Employees!$F$2:$F$501,Departments!$A6)</f>
        <v>83</v>
      </c>
      <c r="E6" s="34">
        <f>SUMIF(Employees!$F$2:$F$501,Departments!$A6,Employees!$I$2:$I$501)</f>
        <v>6173280</v>
      </c>
      <c r="F6" s="35">
        <f>AVERAGEIF(Employees!$F$2:$F$501,Departments!$A6,Employees!$I$2:$I$501)</f>
        <v>74376.867469879522</v>
      </c>
    </row>
    <row r="10" spans="1:9" x14ac:dyDescent="0.3">
      <c r="A10" s="28" t="s">
        <v>1522</v>
      </c>
      <c r="B10" s="29"/>
      <c r="C10" s="29"/>
      <c r="D10" s="29"/>
      <c r="E10" s="29"/>
      <c r="F10" s="29"/>
      <c r="G10" s="29"/>
      <c r="H10" s="29"/>
      <c r="I10" s="29"/>
    </row>
    <row r="11" spans="1:9" x14ac:dyDescent="0.3">
      <c r="A11" s="19" t="s">
        <v>1523</v>
      </c>
      <c r="B11" s="20"/>
      <c r="C11" s="20"/>
      <c r="D11" s="20"/>
      <c r="E11" s="20"/>
      <c r="F11" s="20"/>
      <c r="G11" s="20"/>
      <c r="H11" s="17"/>
      <c r="I11" s="17"/>
    </row>
    <row r="12" spans="1:9" x14ac:dyDescent="0.3">
      <c r="A12" s="21" t="s">
        <v>1524</v>
      </c>
      <c r="B12" s="18"/>
      <c r="C12" s="18"/>
      <c r="D12" s="18"/>
      <c r="E12" s="18"/>
      <c r="F12" s="18"/>
      <c r="G12" s="18"/>
      <c r="H12" s="18"/>
      <c r="I1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FC84-5E56-4708-B190-44F5E9EAA369}">
  <dimension ref="A1:L501"/>
  <sheetViews>
    <sheetView tabSelected="1" workbookViewId="0">
      <selection activeCell="N14" sqref="N14"/>
    </sheetView>
  </sheetViews>
  <sheetFormatPr defaultRowHeight="14.4" x14ac:dyDescent="0.3"/>
  <cols>
    <col min="1" max="1" width="11" bestFit="1" customWidth="1"/>
    <col min="2" max="2" width="10.5546875" bestFit="1" customWidth="1"/>
    <col min="3" max="3" width="6.21875" bestFit="1" customWidth="1"/>
    <col min="4" max="4" width="12.44140625" bestFit="1" customWidth="1"/>
    <col min="5" max="5" width="17.44140625" bestFit="1" customWidth="1"/>
    <col min="7" max="7" width="26.44140625" customWidth="1"/>
  </cols>
  <sheetData>
    <row r="1" spans="1:12" x14ac:dyDescent="0.3">
      <c r="A1" s="23" t="s">
        <v>0</v>
      </c>
      <c r="B1" s="23" t="s">
        <v>1525</v>
      </c>
      <c r="C1" s="23" t="s">
        <v>1526</v>
      </c>
      <c r="D1" s="23" t="s">
        <v>1527</v>
      </c>
      <c r="E1" s="23" t="s">
        <v>1528</v>
      </c>
    </row>
    <row r="2" spans="1:12" x14ac:dyDescent="0.3">
      <c r="A2" s="22" t="s">
        <v>12</v>
      </c>
      <c r="B2" s="22">
        <v>2026</v>
      </c>
      <c r="C2" s="22">
        <v>1</v>
      </c>
      <c r="D2" s="22">
        <v>4</v>
      </c>
      <c r="E2" s="22">
        <v>2</v>
      </c>
      <c r="G2" s="27" t="s">
        <v>1529</v>
      </c>
      <c r="H2" s="27"/>
      <c r="I2" s="27"/>
      <c r="J2" s="27"/>
      <c r="K2" s="27"/>
      <c r="L2" s="27"/>
    </row>
    <row r="3" spans="1:12" x14ac:dyDescent="0.3">
      <c r="A3" s="22" t="s">
        <v>22</v>
      </c>
      <c r="B3" s="22">
        <v>2026</v>
      </c>
      <c r="C3" s="22">
        <v>4</v>
      </c>
      <c r="D3" s="22">
        <v>5</v>
      </c>
      <c r="E3" s="22">
        <v>7</v>
      </c>
      <c r="G3" s="24"/>
      <c r="H3" s="24"/>
      <c r="I3" s="24"/>
      <c r="J3" s="24"/>
      <c r="K3" s="24"/>
      <c r="L3" s="24"/>
    </row>
    <row r="4" spans="1:12" x14ac:dyDescent="0.3">
      <c r="A4" s="22" t="s">
        <v>29</v>
      </c>
      <c r="B4" s="22">
        <v>2026</v>
      </c>
      <c r="C4" s="22">
        <v>2</v>
      </c>
      <c r="D4" s="22">
        <v>29</v>
      </c>
      <c r="E4" s="22">
        <v>5</v>
      </c>
      <c r="G4" s="25" t="s">
        <v>1530</v>
      </c>
      <c r="H4" s="26" t="s">
        <v>1531</v>
      </c>
      <c r="I4" s="26">
        <v>5</v>
      </c>
      <c r="J4" s="25">
        <f>COUNTIF(E2:E501,H4&amp;I4)</f>
        <v>306</v>
      </c>
      <c r="K4" s="24"/>
      <c r="L4" s="24"/>
    </row>
    <row r="5" spans="1:12" x14ac:dyDescent="0.3">
      <c r="A5" s="22" t="s">
        <v>37</v>
      </c>
      <c r="B5" s="22">
        <v>2026</v>
      </c>
      <c r="C5" s="22">
        <v>4</v>
      </c>
      <c r="D5" s="22">
        <v>18</v>
      </c>
      <c r="E5" s="22">
        <v>6</v>
      </c>
    </row>
    <row r="6" spans="1:12" x14ac:dyDescent="0.3">
      <c r="A6" s="22" t="s">
        <v>43</v>
      </c>
      <c r="B6" s="22">
        <v>2026</v>
      </c>
      <c r="C6" s="22">
        <v>2</v>
      </c>
      <c r="D6" s="22">
        <v>48</v>
      </c>
      <c r="E6" s="22">
        <v>2</v>
      </c>
    </row>
    <row r="7" spans="1:12" x14ac:dyDescent="0.3">
      <c r="A7" s="22" t="s">
        <v>48</v>
      </c>
      <c r="B7" s="22">
        <v>2026</v>
      </c>
      <c r="C7" s="22">
        <v>3</v>
      </c>
      <c r="D7" s="22">
        <v>14</v>
      </c>
      <c r="E7" s="22">
        <v>5</v>
      </c>
    </row>
    <row r="8" spans="1:12" x14ac:dyDescent="0.3">
      <c r="A8" s="22" t="s">
        <v>53</v>
      </c>
      <c r="B8" s="22">
        <v>2026</v>
      </c>
      <c r="C8" s="22">
        <v>2</v>
      </c>
      <c r="D8" s="22">
        <v>19</v>
      </c>
      <c r="E8" s="22">
        <v>3</v>
      </c>
    </row>
    <row r="9" spans="1:12" x14ac:dyDescent="0.3">
      <c r="A9" s="22" t="s">
        <v>57</v>
      </c>
      <c r="B9" s="22">
        <v>2026</v>
      </c>
      <c r="C9" s="22">
        <v>1</v>
      </c>
      <c r="D9" s="22">
        <v>4</v>
      </c>
      <c r="E9" s="22">
        <v>2</v>
      </c>
    </row>
    <row r="10" spans="1:12" x14ac:dyDescent="0.3">
      <c r="A10" s="22" t="s">
        <v>62</v>
      </c>
      <c r="B10" s="22">
        <v>2026</v>
      </c>
      <c r="C10" s="22">
        <v>4</v>
      </c>
      <c r="D10" s="22">
        <v>59</v>
      </c>
      <c r="E10" s="22">
        <v>0</v>
      </c>
    </row>
    <row r="11" spans="1:12" x14ac:dyDescent="0.3">
      <c r="A11" s="22" t="s">
        <v>67</v>
      </c>
      <c r="B11" s="22">
        <v>2026</v>
      </c>
      <c r="C11" s="22">
        <v>5</v>
      </c>
      <c r="D11" s="22">
        <v>27</v>
      </c>
      <c r="E11" s="22">
        <v>2</v>
      </c>
    </row>
    <row r="12" spans="1:12" x14ac:dyDescent="0.3">
      <c r="A12" s="22" t="s">
        <v>70</v>
      </c>
      <c r="B12" s="22">
        <v>2026</v>
      </c>
      <c r="C12" s="22">
        <v>3</v>
      </c>
      <c r="D12" s="22">
        <v>42</v>
      </c>
      <c r="E12" s="22">
        <v>3</v>
      </c>
    </row>
    <row r="13" spans="1:12" x14ac:dyDescent="0.3">
      <c r="A13" s="22" t="s">
        <v>74</v>
      </c>
      <c r="B13" s="22">
        <v>2026</v>
      </c>
      <c r="C13" s="22">
        <v>2</v>
      </c>
      <c r="D13" s="22">
        <v>59</v>
      </c>
      <c r="E13" s="22">
        <v>3</v>
      </c>
    </row>
    <row r="14" spans="1:12" x14ac:dyDescent="0.3">
      <c r="A14" s="22" t="s">
        <v>77</v>
      </c>
      <c r="B14" s="22">
        <v>2026</v>
      </c>
      <c r="C14" s="22">
        <v>3</v>
      </c>
      <c r="D14" s="22">
        <v>14</v>
      </c>
      <c r="E14" s="22">
        <v>0</v>
      </c>
    </row>
    <row r="15" spans="1:12" x14ac:dyDescent="0.3">
      <c r="A15" s="22" t="s">
        <v>82</v>
      </c>
      <c r="B15" s="22">
        <v>2026</v>
      </c>
      <c r="C15" s="22">
        <v>2</v>
      </c>
      <c r="D15" s="22">
        <v>2</v>
      </c>
      <c r="E15" s="22">
        <v>12</v>
      </c>
    </row>
    <row r="16" spans="1:12" x14ac:dyDescent="0.3">
      <c r="A16" s="22" t="s">
        <v>86</v>
      </c>
      <c r="B16" s="22">
        <v>2026</v>
      </c>
      <c r="C16" s="22">
        <v>4</v>
      </c>
      <c r="D16" s="22">
        <v>60</v>
      </c>
      <c r="E16" s="22">
        <v>2</v>
      </c>
    </row>
    <row r="17" spans="1:5" x14ac:dyDescent="0.3">
      <c r="A17" s="22" t="s">
        <v>89</v>
      </c>
      <c r="B17" s="22">
        <v>2026</v>
      </c>
      <c r="C17" s="22">
        <v>2</v>
      </c>
      <c r="D17" s="22">
        <v>39</v>
      </c>
      <c r="E17" s="22">
        <v>1</v>
      </c>
    </row>
    <row r="18" spans="1:5" x14ac:dyDescent="0.3">
      <c r="A18" s="22" t="s">
        <v>93</v>
      </c>
      <c r="B18" s="22">
        <v>2026</v>
      </c>
      <c r="C18" s="22">
        <v>1</v>
      </c>
      <c r="D18" s="22">
        <v>60</v>
      </c>
      <c r="E18" s="22">
        <v>12</v>
      </c>
    </row>
    <row r="19" spans="1:5" x14ac:dyDescent="0.3">
      <c r="A19" s="22" t="s">
        <v>98</v>
      </c>
      <c r="B19" s="22">
        <v>2026</v>
      </c>
      <c r="C19" s="22">
        <v>4</v>
      </c>
      <c r="D19" s="22">
        <v>14</v>
      </c>
      <c r="E19" s="22">
        <v>8</v>
      </c>
    </row>
    <row r="20" spans="1:5" x14ac:dyDescent="0.3">
      <c r="A20" s="22" t="s">
        <v>101</v>
      </c>
      <c r="B20" s="22">
        <v>2026</v>
      </c>
      <c r="C20" s="22">
        <v>5</v>
      </c>
      <c r="D20" s="22">
        <v>43</v>
      </c>
      <c r="E20" s="22">
        <v>10</v>
      </c>
    </row>
    <row r="21" spans="1:5" x14ac:dyDescent="0.3">
      <c r="A21" s="22" t="s">
        <v>104</v>
      </c>
      <c r="B21" s="22">
        <v>2026</v>
      </c>
      <c r="C21" s="22">
        <v>5</v>
      </c>
      <c r="D21" s="22">
        <v>45</v>
      </c>
      <c r="E21" s="22">
        <v>8</v>
      </c>
    </row>
    <row r="22" spans="1:5" x14ac:dyDescent="0.3">
      <c r="A22" s="22" t="s">
        <v>107</v>
      </c>
      <c r="B22" s="22">
        <v>2026</v>
      </c>
      <c r="C22" s="22">
        <v>1</v>
      </c>
      <c r="D22" s="22">
        <v>1</v>
      </c>
      <c r="E22" s="22">
        <v>7</v>
      </c>
    </row>
    <row r="23" spans="1:5" x14ac:dyDescent="0.3">
      <c r="A23" s="22" t="s">
        <v>111</v>
      </c>
      <c r="B23" s="22">
        <v>2026</v>
      </c>
      <c r="C23" s="22">
        <v>5</v>
      </c>
      <c r="D23" s="22">
        <v>45</v>
      </c>
      <c r="E23" s="22">
        <v>8</v>
      </c>
    </row>
    <row r="24" spans="1:5" x14ac:dyDescent="0.3">
      <c r="A24" s="22" t="s">
        <v>114</v>
      </c>
      <c r="B24" s="22">
        <v>2026</v>
      </c>
      <c r="C24" s="22">
        <v>3</v>
      </c>
      <c r="D24" s="22">
        <v>16</v>
      </c>
      <c r="E24" s="22">
        <v>3</v>
      </c>
    </row>
    <row r="25" spans="1:5" x14ac:dyDescent="0.3">
      <c r="A25" s="22" t="s">
        <v>117</v>
      </c>
      <c r="B25" s="22">
        <v>2026</v>
      </c>
      <c r="C25" s="22">
        <v>4</v>
      </c>
      <c r="D25" s="22">
        <v>34</v>
      </c>
      <c r="E25" s="22">
        <v>0</v>
      </c>
    </row>
    <row r="26" spans="1:5" x14ac:dyDescent="0.3">
      <c r="A26" s="22" t="s">
        <v>120</v>
      </c>
      <c r="B26" s="22">
        <v>2026</v>
      </c>
      <c r="C26" s="22">
        <v>4</v>
      </c>
      <c r="D26" s="22">
        <v>3</v>
      </c>
      <c r="E26" s="22">
        <v>1</v>
      </c>
    </row>
    <row r="27" spans="1:5" x14ac:dyDescent="0.3">
      <c r="A27" s="22" t="s">
        <v>123</v>
      </c>
      <c r="B27" s="22">
        <v>2026</v>
      </c>
      <c r="C27" s="22">
        <v>1</v>
      </c>
      <c r="D27" s="22">
        <v>12</v>
      </c>
      <c r="E27" s="22">
        <v>0</v>
      </c>
    </row>
    <row r="28" spans="1:5" x14ac:dyDescent="0.3">
      <c r="A28" s="22" t="s">
        <v>126</v>
      </c>
      <c r="B28" s="22">
        <v>2026</v>
      </c>
      <c r="C28" s="22">
        <v>1</v>
      </c>
      <c r="D28" s="22">
        <v>38</v>
      </c>
      <c r="E28" s="22">
        <v>8</v>
      </c>
    </row>
    <row r="29" spans="1:5" x14ac:dyDescent="0.3">
      <c r="A29" s="22" t="s">
        <v>129</v>
      </c>
      <c r="B29" s="22">
        <v>2026</v>
      </c>
      <c r="C29" s="22">
        <v>4</v>
      </c>
      <c r="D29" s="22">
        <v>32</v>
      </c>
      <c r="E29" s="22">
        <v>3</v>
      </c>
    </row>
    <row r="30" spans="1:5" x14ac:dyDescent="0.3">
      <c r="A30" s="22" t="s">
        <v>133</v>
      </c>
      <c r="B30" s="22">
        <v>2026</v>
      </c>
      <c r="C30" s="22">
        <v>5</v>
      </c>
      <c r="D30" s="22">
        <v>17</v>
      </c>
      <c r="E30" s="22">
        <v>9</v>
      </c>
    </row>
    <row r="31" spans="1:5" x14ac:dyDescent="0.3">
      <c r="A31" s="22" t="s">
        <v>136</v>
      </c>
      <c r="B31" s="22">
        <v>2026</v>
      </c>
      <c r="C31" s="22">
        <v>2</v>
      </c>
      <c r="D31" s="22">
        <v>25</v>
      </c>
      <c r="E31" s="22">
        <v>12</v>
      </c>
    </row>
    <row r="32" spans="1:5" x14ac:dyDescent="0.3">
      <c r="A32" s="22" t="s">
        <v>139</v>
      </c>
      <c r="B32" s="22">
        <v>2026</v>
      </c>
      <c r="C32" s="22">
        <v>1</v>
      </c>
      <c r="D32" s="22">
        <v>37</v>
      </c>
      <c r="E32" s="22">
        <v>11</v>
      </c>
    </row>
    <row r="33" spans="1:5" x14ac:dyDescent="0.3">
      <c r="A33" s="22" t="s">
        <v>142</v>
      </c>
      <c r="B33" s="22">
        <v>2026</v>
      </c>
      <c r="C33" s="22">
        <v>4</v>
      </c>
      <c r="D33" s="22">
        <v>9</v>
      </c>
      <c r="E33" s="22">
        <v>11</v>
      </c>
    </row>
    <row r="34" spans="1:5" x14ac:dyDescent="0.3">
      <c r="A34" s="22" t="s">
        <v>146</v>
      </c>
      <c r="B34" s="22">
        <v>2026</v>
      </c>
      <c r="C34" s="22">
        <v>5</v>
      </c>
      <c r="D34" s="22">
        <v>56</v>
      </c>
      <c r="E34" s="22">
        <v>9</v>
      </c>
    </row>
    <row r="35" spans="1:5" x14ac:dyDescent="0.3">
      <c r="A35" s="22" t="s">
        <v>149</v>
      </c>
      <c r="B35" s="22">
        <v>2026</v>
      </c>
      <c r="C35" s="22">
        <v>1</v>
      </c>
      <c r="D35" s="22">
        <v>31</v>
      </c>
      <c r="E35" s="22">
        <v>8</v>
      </c>
    </row>
    <row r="36" spans="1:5" x14ac:dyDescent="0.3">
      <c r="A36" s="22" t="s">
        <v>152</v>
      </c>
      <c r="B36" s="22">
        <v>2026</v>
      </c>
      <c r="C36" s="22">
        <v>5</v>
      </c>
      <c r="D36" s="22">
        <v>25</v>
      </c>
      <c r="E36" s="22">
        <v>3</v>
      </c>
    </row>
    <row r="37" spans="1:5" x14ac:dyDescent="0.3">
      <c r="A37" s="22" t="s">
        <v>155</v>
      </c>
      <c r="B37" s="22">
        <v>2026</v>
      </c>
      <c r="C37" s="22">
        <v>1</v>
      </c>
      <c r="D37" s="22">
        <v>58</v>
      </c>
      <c r="E37" s="22">
        <v>11</v>
      </c>
    </row>
    <row r="38" spans="1:5" x14ac:dyDescent="0.3">
      <c r="A38" s="22" t="s">
        <v>158</v>
      </c>
      <c r="B38" s="22">
        <v>2026</v>
      </c>
      <c r="C38" s="22">
        <v>4</v>
      </c>
      <c r="D38" s="22">
        <v>25</v>
      </c>
      <c r="E38" s="22">
        <v>10</v>
      </c>
    </row>
    <row r="39" spans="1:5" x14ac:dyDescent="0.3">
      <c r="A39" s="22" t="s">
        <v>161</v>
      </c>
      <c r="B39" s="22">
        <v>2026</v>
      </c>
      <c r="C39" s="22">
        <v>4</v>
      </c>
      <c r="D39" s="22">
        <v>41</v>
      </c>
      <c r="E39" s="22">
        <v>4</v>
      </c>
    </row>
    <row r="40" spans="1:5" x14ac:dyDescent="0.3">
      <c r="A40" s="22" t="s">
        <v>164</v>
      </c>
      <c r="B40" s="22">
        <v>2026</v>
      </c>
      <c r="C40" s="22">
        <v>3</v>
      </c>
      <c r="D40" s="22">
        <v>7</v>
      </c>
      <c r="E40" s="22">
        <v>9</v>
      </c>
    </row>
    <row r="41" spans="1:5" x14ac:dyDescent="0.3">
      <c r="A41" s="22" t="s">
        <v>168</v>
      </c>
      <c r="B41" s="22">
        <v>2026</v>
      </c>
      <c r="C41" s="22">
        <v>2</v>
      </c>
      <c r="D41" s="22">
        <v>14</v>
      </c>
      <c r="E41" s="22">
        <v>3</v>
      </c>
    </row>
    <row r="42" spans="1:5" x14ac:dyDescent="0.3">
      <c r="A42" s="22" t="s">
        <v>171</v>
      </c>
      <c r="B42" s="22">
        <v>2026</v>
      </c>
      <c r="C42" s="22">
        <v>4</v>
      </c>
      <c r="D42" s="22">
        <v>49</v>
      </c>
      <c r="E42" s="22">
        <v>12</v>
      </c>
    </row>
    <row r="43" spans="1:5" x14ac:dyDescent="0.3">
      <c r="A43" s="22" t="s">
        <v>174</v>
      </c>
      <c r="B43" s="22">
        <v>2026</v>
      </c>
      <c r="C43" s="22">
        <v>3</v>
      </c>
      <c r="D43" s="22">
        <v>11</v>
      </c>
      <c r="E43" s="22">
        <v>11</v>
      </c>
    </row>
    <row r="44" spans="1:5" x14ac:dyDescent="0.3">
      <c r="A44" s="22" t="s">
        <v>177</v>
      </c>
      <c r="B44" s="22">
        <v>2026</v>
      </c>
      <c r="C44" s="22">
        <v>5</v>
      </c>
      <c r="D44" s="22">
        <v>42</v>
      </c>
      <c r="E44" s="22">
        <v>7</v>
      </c>
    </row>
    <row r="45" spans="1:5" x14ac:dyDescent="0.3">
      <c r="A45" s="22" t="s">
        <v>180</v>
      </c>
      <c r="B45" s="22">
        <v>2026</v>
      </c>
      <c r="C45" s="22">
        <v>3</v>
      </c>
      <c r="D45" s="22">
        <v>49</v>
      </c>
      <c r="E45" s="22">
        <v>8</v>
      </c>
    </row>
    <row r="46" spans="1:5" x14ac:dyDescent="0.3">
      <c r="A46" s="22" t="s">
        <v>183</v>
      </c>
      <c r="B46" s="22">
        <v>2026</v>
      </c>
      <c r="C46" s="22">
        <v>1</v>
      </c>
      <c r="D46" s="22">
        <v>27</v>
      </c>
      <c r="E46" s="22">
        <v>9</v>
      </c>
    </row>
    <row r="47" spans="1:5" x14ac:dyDescent="0.3">
      <c r="A47" s="22" t="s">
        <v>186</v>
      </c>
      <c r="B47" s="22">
        <v>2026</v>
      </c>
      <c r="C47" s="22">
        <v>4</v>
      </c>
      <c r="D47" s="22">
        <v>34</v>
      </c>
      <c r="E47" s="22">
        <v>1</v>
      </c>
    </row>
    <row r="48" spans="1:5" x14ac:dyDescent="0.3">
      <c r="A48" s="22" t="s">
        <v>189</v>
      </c>
      <c r="B48" s="22">
        <v>2026</v>
      </c>
      <c r="C48" s="22">
        <v>5</v>
      </c>
      <c r="D48" s="22">
        <v>8</v>
      </c>
      <c r="E48" s="22">
        <v>3</v>
      </c>
    </row>
    <row r="49" spans="1:5" x14ac:dyDescent="0.3">
      <c r="A49" s="22" t="s">
        <v>192</v>
      </c>
      <c r="B49" s="22">
        <v>2026</v>
      </c>
      <c r="C49" s="22">
        <v>5</v>
      </c>
      <c r="D49" s="22">
        <v>58</v>
      </c>
      <c r="E49" s="22">
        <v>1</v>
      </c>
    </row>
    <row r="50" spans="1:5" x14ac:dyDescent="0.3">
      <c r="A50" s="22" t="s">
        <v>195</v>
      </c>
      <c r="B50" s="22">
        <v>2026</v>
      </c>
      <c r="C50" s="22">
        <v>2</v>
      </c>
      <c r="D50" s="22">
        <v>11</v>
      </c>
      <c r="E50" s="22">
        <v>6</v>
      </c>
    </row>
    <row r="51" spans="1:5" x14ac:dyDescent="0.3">
      <c r="A51" s="22" t="s">
        <v>198</v>
      </c>
      <c r="B51" s="22">
        <v>2026</v>
      </c>
      <c r="C51" s="22">
        <v>1</v>
      </c>
      <c r="D51" s="22">
        <v>12</v>
      </c>
      <c r="E51" s="22">
        <v>4</v>
      </c>
    </row>
    <row r="52" spans="1:5" x14ac:dyDescent="0.3">
      <c r="A52" s="22" t="s">
        <v>200</v>
      </c>
      <c r="B52" s="22">
        <v>2026</v>
      </c>
      <c r="C52" s="22">
        <v>5</v>
      </c>
      <c r="D52" s="22">
        <v>54</v>
      </c>
      <c r="E52" s="22">
        <v>5</v>
      </c>
    </row>
    <row r="53" spans="1:5" x14ac:dyDescent="0.3">
      <c r="A53" s="22" t="s">
        <v>203</v>
      </c>
      <c r="B53" s="22">
        <v>2026</v>
      </c>
      <c r="C53" s="22">
        <v>4</v>
      </c>
      <c r="D53" s="22">
        <v>38</v>
      </c>
      <c r="E53" s="22">
        <v>4</v>
      </c>
    </row>
    <row r="54" spans="1:5" x14ac:dyDescent="0.3">
      <c r="A54" s="22" t="s">
        <v>206</v>
      </c>
      <c r="B54" s="22">
        <v>2026</v>
      </c>
      <c r="C54" s="22">
        <v>4</v>
      </c>
      <c r="D54" s="22">
        <v>47</v>
      </c>
      <c r="E54" s="22">
        <v>1</v>
      </c>
    </row>
    <row r="55" spans="1:5" x14ac:dyDescent="0.3">
      <c r="A55" s="22" t="s">
        <v>209</v>
      </c>
      <c r="B55" s="22">
        <v>2026</v>
      </c>
      <c r="C55" s="22">
        <v>2</v>
      </c>
      <c r="D55" s="22">
        <v>41</v>
      </c>
      <c r="E55" s="22">
        <v>5</v>
      </c>
    </row>
    <row r="56" spans="1:5" x14ac:dyDescent="0.3">
      <c r="A56" s="22" t="s">
        <v>212</v>
      </c>
      <c r="B56" s="22">
        <v>2026</v>
      </c>
      <c r="C56" s="22">
        <v>1</v>
      </c>
      <c r="D56" s="22">
        <v>59</v>
      </c>
      <c r="E56" s="22">
        <v>8</v>
      </c>
    </row>
    <row r="57" spans="1:5" x14ac:dyDescent="0.3">
      <c r="A57" s="22" t="s">
        <v>215</v>
      </c>
      <c r="B57" s="22">
        <v>2026</v>
      </c>
      <c r="C57" s="22">
        <v>3</v>
      </c>
      <c r="D57" s="22">
        <v>13</v>
      </c>
      <c r="E57" s="22">
        <v>12</v>
      </c>
    </row>
    <row r="58" spans="1:5" x14ac:dyDescent="0.3">
      <c r="A58" s="22" t="s">
        <v>218</v>
      </c>
      <c r="B58" s="22">
        <v>2026</v>
      </c>
      <c r="C58" s="22">
        <v>4</v>
      </c>
      <c r="D58" s="22">
        <v>22</v>
      </c>
      <c r="E58" s="22">
        <v>9</v>
      </c>
    </row>
    <row r="59" spans="1:5" x14ac:dyDescent="0.3">
      <c r="A59" s="22" t="s">
        <v>221</v>
      </c>
      <c r="B59" s="22">
        <v>2026</v>
      </c>
      <c r="C59" s="22">
        <v>2</v>
      </c>
      <c r="D59" s="22">
        <v>5</v>
      </c>
      <c r="E59" s="22">
        <v>4</v>
      </c>
    </row>
    <row r="60" spans="1:5" x14ac:dyDescent="0.3">
      <c r="A60" s="22" t="s">
        <v>224</v>
      </c>
      <c r="B60" s="22">
        <v>2026</v>
      </c>
      <c r="C60" s="22">
        <v>3</v>
      </c>
      <c r="D60" s="22">
        <v>38</v>
      </c>
      <c r="E60" s="22">
        <v>0</v>
      </c>
    </row>
    <row r="61" spans="1:5" x14ac:dyDescent="0.3">
      <c r="A61" s="22" t="s">
        <v>227</v>
      </c>
      <c r="B61" s="22">
        <v>2026</v>
      </c>
      <c r="C61" s="22">
        <v>3</v>
      </c>
      <c r="D61" s="22">
        <v>50</v>
      </c>
      <c r="E61" s="22">
        <v>5</v>
      </c>
    </row>
    <row r="62" spans="1:5" x14ac:dyDescent="0.3">
      <c r="A62" s="22" t="s">
        <v>230</v>
      </c>
      <c r="B62" s="22">
        <v>2026</v>
      </c>
      <c r="C62" s="22">
        <v>4</v>
      </c>
      <c r="D62" s="22">
        <v>2</v>
      </c>
      <c r="E62" s="22">
        <v>3</v>
      </c>
    </row>
    <row r="63" spans="1:5" x14ac:dyDescent="0.3">
      <c r="A63" s="22" t="s">
        <v>233</v>
      </c>
      <c r="B63" s="22">
        <v>2026</v>
      </c>
      <c r="C63" s="22">
        <v>5</v>
      </c>
      <c r="D63" s="22">
        <v>38</v>
      </c>
      <c r="E63" s="22">
        <v>12</v>
      </c>
    </row>
    <row r="64" spans="1:5" x14ac:dyDescent="0.3">
      <c r="A64" s="22" t="s">
        <v>236</v>
      </c>
      <c r="B64" s="22">
        <v>2026</v>
      </c>
      <c r="C64" s="22">
        <v>1</v>
      </c>
      <c r="D64" s="22">
        <v>41</v>
      </c>
      <c r="E64" s="22">
        <v>1</v>
      </c>
    </row>
    <row r="65" spans="1:5" x14ac:dyDescent="0.3">
      <c r="A65" s="22" t="s">
        <v>239</v>
      </c>
      <c r="B65" s="22">
        <v>2026</v>
      </c>
      <c r="C65" s="22">
        <v>3</v>
      </c>
      <c r="D65" s="22">
        <v>12</v>
      </c>
      <c r="E65" s="22">
        <v>10</v>
      </c>
    </row>
    <row r="66" spans="1:5" x14ac:dyDescent="0.3">
      <c r="A66" s="22" t="s">
        <v>242</v>
      </c>
      <c r="B66" s="22">
        <v>2026</v>
      </c>
      <c r="C66" s="22">
        <v>3</v>
      </c>
      <c r="D66" s="22">
        <v>21</v>
      </c>
      <c r="E66" s="22">
        <v>11</v>
      </c>
    </row>
    <row r="67" spans="1:5" x14ac:dyDescent="0.3">
      <c r="A67" s="22" t="s">
        <v>245</v>
      </c>
      <c r="B67" s="22">
        <v>2026</v>
      </c>
      <c r="C67" s="22">
        <v>5</v>
      </c>
      <c r="D67" s="22">
        <v>7</v>
      </c>
      <c r="E67" s="22">
        <v>11</v>
      </c>
    </row>
    <row r="68" spans="1:5" x14ac:dyDescent="0.3">
      <c r="A68" s="22" t="s">
        <v>248</v>
      </c>
      <c r="B68" s="22">
        <v>2026</v>
      </c>
      <c r="C68" s="22">
        <v>3</v>
      </c>
      <c r="D68" s="22">
        <v>7</v>
      </c>
      <c r="E68" s="22">
        <v>5</v>
      </c>
    </row>
    <row r="69" spans="1:5" x14ac:dyDescent="0.3">
      <c r="A69" s="22" t="s">
        <v>251</v>
      </c>
      <c r="B69" s="22">
        <v>2026</v>
      </c>
      <c r="C69" s="22">
        <v>2</v>
      </c>
      <c r="D69" s="22">
        <v>42</v>
      </c>
      <c r="E69" s="22">
        <v>12</v>
      </c>
    </row>
    <row r="70" spans="1:5" x14ac:dyDescent="0.3">
      <c r="A70" s="22" t="s">
        <v>254</v>
      </c>
      <c r="B70" s="22">
        <v>2026</v>
      </c>
      <c r="C70" s="22">
        <v>4</v>
      </c>
      <c r="D70" s="22">
        <v>11</v>
      </c>
      <c r="E70" s="22">
        <v>5</v>
      </c>
    </row>
    <row r="71" spans="1:5" x14ac:dyDescent="0.3">
      <c r="A71" s="22" t="s">
        <v>257</v>
      </c>
      <c r="B71" s="22">
        <v>2026</v>
      </c>
      <c r="C71" s="22">
        <v>4</v>
      </c>
      <c r="D71" s="22">
        <v>6</v>
      </c>
      <c r="E71" s="22">
        <v>7</v>
      </c>
    </row>
    <row r="72" spans="1:5" x14ac:dyDescent="0.3">
      <c r="A72" s="22" t="s">
        <v>260</v>
      </c>
      <c r="B72" s="22">
        <v>2026</v>
      </c>
      <c r="C72" s="22">
        <v>2</v>
      </c>
      <c r="D72" s="22">
        <v>6</v>
      </c>
      <c r="E72" s="22">
        <v>0</v>
      </c>
    </row>
    <row r="73" spans="1:5" x14ac:dyDescent="0.3">
      <c r="A73" s="22" t="s">
        <v>263</v>
      </c>
      <c r="B73" s="22">
        <v>2026</v>
      </c>
      <c r="C73" s="22">
        <v>4</v>
      </c>
      <c r="D73" s="22">
        <v>38</v>
      </c>
      <c r="E73" s="22">
        <v>6</v>
      </c>
    </row>
    <row r="74" spans="1:5" x14ac:dyDescent="0.3">
      <c r="A74" s="22" t="s">
        <v>266</v>
      </c>
      <c r="B74" s="22">
        <v>2026</v>
      </c>
      <c r="C74" s="22">
        <v>3</v>
      </c>
      <c r="D74" s="22">
        <v>37</v>
      </c>
      <c r="E74" s="22">
        <v>2</v>
      </c>
    </row>
    <row r="75" spans="1:5" x14ac:dyDescent="0.3">
      <c r="A75" s="22" t="s">
        <v>269</v>
      </c>
      <c r="B75" s="22">
        <v>2026</v>
      </c>
      <c r="C75" s="22">
        <v>3</v>
      </c>
      <c r="D75" s="22">
        <v>1</v>
      </c>
      <c r="E75" s="22">
        <v>6</v>
      </c>
    </row>
    <row r="76" spans="1:5" x14ac:dyDescent="0.3">
      <c r="A76" s="22" t="s">
        <v>272</v>
      </c>
      <c r="B76" s="22">
        <v>2026</v>
      </c>
      <c r="C76" s="22">
        <v>5</v>
      </c>
      <c r="D76" s="22">
        <v>9</v>
      </c>
      <c r="E76" s="22">
        <v>8</v>
      </c>
    </row>
    <row r="77" spans="1:5" x14ac:dyDescent="0.3">
      <c r="A77" s="22" t="s">
        <v>275</v>
      </c>
      <c r="B77" s="22">
        <v>2026</v>
      </c>
      <c r="C77" s="22">
        <v>3</v>
      </c>
      <c r="D77" s="22">
        <v>29</v>
      </c>
      <c r="E77" s="22">
        <v>1</v>
      </c>
    </row>
    <row r="78" spans="1:5" x14ac:dyDescent="0.3">
      <c r="A78" s="22" t="s">
        <v>278</v>
      </c>
      <c r="B78" s="22">
        <v>2026</v>
      </c>
      <c r="C78" s="22">
        <v>1</v>
      </c>
      <c r="D78" s="22">
        <v>14</v>
      </c>
      <c r="E78" s="22">
        <v>3</v>
      </c>
    </row>
    <row r="79" spans="1:5" x14ac:dyDescent="0.3">
      <c r="A79" s="22" t="s">
        <v>281</v>
      </c>
      <c r="B79" s="22">
        <v>2026</v>
      </c>
      <c r="C79" s="22">
        <v>4</v>
      </c>
      <c r="D79" s="22">
        <v>19</v>
      </c>
      <c r="E79" s="22">
        <v>5</v>
      </c>
    </row>
    <row r="80" spans="1:5" x14ac:dyDescent="0.3">
      <c r="A80" s="22" t="s">
        <v>284</v>
      </c>
      <c r="B80" s="22">
        <v>2026</v>
      </c>
      <c r="C80" s="22">
        <v>1</v>
      </c>
      <c r="D80" s="22">
        <v>40</v>
      </c>
      <c r="E80" s="22">
        <v>12</v>
      </c>
    </row>
    <row r="81" spans="1:5" x14ac:dyDescent="0.3">
      <c r="A81" s="22" t="s">
        <v>287</v>
      </c>
      <c r="B81" s="22">
        <v>2026</v>
      </c>
      <c r="C81" s="22">
        <v>2</v>
      </c>
      <c r="D81" s="22">
        <v>30</v>
      </c>
      <c r="E81" s="22">
        <v>12</v>
      </c>
    </row>
    <row r="82" spans="1:5" x14ac:dyDescent="0.3">
      <c r="A82" s="22" t="s">
        <v>290</v>
      </c>
      <c r="B82" s="22">
        <v>2026</v>
      </c>
      <c r="C82" s="22">
        <v>4</v>
      </c>
      <c r="D82" s="22">
        <v>17</v>
      </c>
      <c r="E82" s="22">
        <v>3</v>
      </c>
    </row>
    <row r="83" spans="1:5" x14ac:dyDescent="0.3">
      <c r="A83" s="22" t="s">
        <v>293</v>
      </c>
      <c r="B83" s="22">
        <v>2026</v>
      </c>
      <c r="C83" s="22">
        <v>1</v>
      </c>
      <c r="D83" s="22">
        <v>29</v>
      </c>
      <c r="E83" s="22">
        <v>4</v>
      </c>
    </row>
    <row r="84" spans="1:5" x14ac:dyDescent="0.3">
      <c r="A84" s="22" t="s">
        <v>296</v>
      </c>
      <c r="B84" s="22">
        <v>2026</v>
      </c>
      <c r="C84" s="22">
        <v>3</v>
      </c>
      <c r="D84" s="22">
        <v>54</v>
      </c>
      <c r="E84" s="22">
        <v>5</v>
      </c>
    </row>
    <row r="85" spans="1:5" x14ac:dyDescent="0.3">
      <c r="A85" s="22" t="s">
        <v>299</v>
      </c>
      <c r="B85" s="22">
        <v>2026</v>
      </c>
      <c r="C85" s="22">
        <v>2</v>
      </c>
      <c r="D85" s="22">
        <v>1</v>
      </c>
      <c r="E85" s="22">
        <v>10</v>
      </c>
    </row>
    <row r="86" spans="1:5" x14ac:dyDescent="0.3">
      <c r="A86" s="22" t="s">
        <v>302</v>
      </c>
      <c r="B86" s="22">
        <v>2026</v>
      </c>
      <c r="C86" s="22">
        <v>4</v>
      </c>
      <c r="D86" s="22">
        <v>60</v>
      </c>
      <c r="E86" s="22">
        <v>3</v>
      </c>
    </row>
    <row r="87" spans="1:5" x14ac:dyDescent="0.3">
      <c r="A87" s="22" t="s">
        <v>305</v>
      </c>
      <c r="B87" s="22">
        <v>2026</v>
      </c>
      <c r="C87" s="22">
        <v>3</v>
      </c>
      <c r="D87" s="22">
        <v>14</v>
      </c>
      <c r="E87" s="22">
        <v>0</v>
      </c>
    </row>
    <row r="88" spans="1:5" x14ac:dyDescent="0.3">
      <c r="A88" s="22" t="s">
        <v>307</v>
      </c>
      <c r="B88" s="22">
        <v>2026</v>
      </c>
      <c r="C88" s="22">
        <v>5</v>
      </c>
      <c r="D88" s="22">
        <v>23</v>
      </c>
      <c r="E88" s="22">
        <v>10</v>
      </c>
    </row>
    <row r="89" spans="1:5" x14ac:dyDescent="0.3">
      <c r="A89" s="22" t="s">
        <v>310</v>
      </c>
      <c r="B89" s="22">
        <v>2026</v>
      </c>
      <c r="C89" s="22">
        <v>5</v>
      </c>
      <c r="D89" s="22">
        <v>5</v>
      </c>
      <c r="E89" s="22">
        <v>5</v>
      </c>
    </row>
    <row r="90" spans="1:5" x14ac:dyDescent="0.3">
      <c r="A90" s="22" t="s">
        <v>313</v>
      </c>
      <c r="B90" s="22">
        <v>2026</v>
      </c>
      <c r="C90" s="22">
        <v>1</v>
      </c>
      <c r="D90" s="22">
        <v>31</v>
      </c>
      <c r="E90" s="22">
        <v>2</v>
      </c>
    </row>
    <row r="91" spans="1:5" x14ac:dyDescent="0.3">
      <c r="A91" s="22" t="s">
        <v>316</v>
      </c>
      <c r="B91" s="22">
        <v>2026</v>
      </c>
      <c r="C91" s="22">
        <v>3</v>
      </c>
      <c r="D91" s="22">
        <v>25</v>
      </c>
      <c r="E91" s="22">
        <v>2</v>
      </c>
    </row>
    <row r="92" spans="1:5" x14ac:dyDescent="0.3">
      <c r="A92" s="22" t="s">
        <v>319</v>
      </c>
      <c r="B92" s="22">
        <v>2026</v>
      </c>
      <c r="C92" s="22">
        <v>1</v>
      </c>
      <c r="D92" s="22">
        <v>9</v>
      </c>
      <c r="E92" s="22">
        <v>2</v>
      </c>
    </row>
    <row r="93" spans="1:5" x14ac:dyDescent="0.3">
      <c r="A93" s="22" t="s">
        <v>322</v>
      </c>
      <c r="B93" s="22">
        <v>2026</v>
      </c>
      <c r="C93" s="22">
        <v>3</v>
      </c>
      <c r="D93" s="22">
        <v>7</v>
      </c>
      <c r="E93" s="22">
        <v>4</v>
      </c>
    </row>
    <row r="94" spans="1:5" x14ac:dyDescent="0.3">
      <c r="A94" s="22" t="s">
        <v>325</v>
      </c>
      <c r="B94" s="22">
        <v>2026</v>
      </c>
      <c r="C94" s="22">
        <v>2</v>
      </c>
      <c r="D94" s="22">
        <v>5</v>
      </c>
      <c r="E94" s="22">
        <v>4</v>
      </c>
    </row>
    <row r="95" spans="1:5" x14ac:dyDescent="0.3">
      <c r="A95" s="22" t="s">
        <v>328</v>
      </c>
      <c r="B95" s="22">
        <v>2026</v>
      </c>
      <c r="C95" s="22">
        <v>1</v>
      </c>
      <c r="D95" s="22">
        <v>28</v>
      </c>
      <c r="E95" s="22">
        <v>10</v>
      </c>
    </row>
    <row r="96" spans="1:5" x14ac:dyDescent="0.3">
      <c r="A96" s="22" t="s">
        <v>331</v>
      </c>
      <c r="B96" s="22">
        <v>2026</v>
      </c>
      <c r="C96" s="22">
        <v>2</v>
      </c>
      <c r="D96" s="22">
        <v>44</v>
      </c>
      <c r="E96" s="22">
        <v>5</v>
      </c>
    </row>
    <row r="97" spans="1:5" x14ac:dyDescent="0.3">
      <c r="A97" s="22" t="s">
        <v>334</v>
      </c>
      <c r="B97" s="22">
        <v>2026</v>
      </c>
      <c r="C97" s="22">
        <v>4</v>
      </c>
      <c r="D97" s="22">
        <v>41</v>
      </c>
      <c r="E97" s="22">
        <v>5</v>
      </c>
    </row>
    <row r="98" spans="1:5" x14ac:dyDescent="0.3">
      <c r="A98" s="22" t="s">
        <v>337</v>
      </c>
      <c r="B98" s="22">
        <v>2026</v>
      </c>
      <c r="C98" s="22">
        <v>2</v>
      </c>
      <c r="D98" s="22">
        <v>10</v>
      </c>
      <c r="E98" s="22">
        <v>5</v>
      </c>
    </row>
    <row r="99" spans="1:5" x14ac:dyDescent="0.3">
      <c r="A99" s="22" t="s">
        <v>340</v>
      </c>
      <c r="B99" s="22">
        <v>2026</v>
      </c>
      <c r="C99" s="22">
        <v>2</v>
      </c>
      <c r="D99" s="22">
        <v>15</v>
      </c>
      <c r="E99" s="22">
        <v>7</v>
      </c>
    </row>
    <row r="100" spans="1:5" x14ac:dyDescent="0.3">
      <c r="A100" s="22" t="s">
        <v>343</v>
      </c>
      <c r="B100" s="22">
        <v>2026</v>
      </c>
      <c r="C100" s="22">
        <v>4</v>
      </c>
      <c r="D100" s="22">
        <v>59</v>
      </c>
      <c r="E100" s="22">
        <v>11</v>
      </c>
    </row>
    <row r="101" spans="1:5" x14ac:dyDescent="0.3">
      <c r="A101" s="22" t="s">
        <v>346</v>
      </c>
      <c r="B101" s="22">
        <v>2026</v>
      </c>
      <c r="C101" s="22">
        <v>1</v>
      </c>
      <c r="D101" s="22">
        <v>23</v>
      </c>
      <c r="E101" s="22">
        <v>8</v>
      </c>
    </row>
    <row r="102" spans="1:5" x14ac:dyDescent="0.3">
      <c r="A102" s="22" t="s">
        <v>349</v>
      </c>
      <c r="B102" s="22">
        <v>2026</v>
      </c>
      <c r="C102" s="22">
        <v>5</v>
      </c>
      <c r="D102" s="22">
        <v>31</v>
      </c>
      <c r="E102" s="22">
        <v>12</v>
      </c>
    </row>
    <row r="103" spans="1:5" x14ac:dyDescent="0.3">
      <c r="A103" s="22" t="s">
        <v>352</v>
      </c>
      <c r="B103" s="22">
        <v>2026</v>
      </c>
      <c r="C103" s="22">
        <v>5</v>
      </c>
      <c r="D103" s="22">
        <v>3</v>
      </c>
      <c r="E103" s="22">
        <v>12</v>
      </c>
    </row>
    <row r="104" spans="1:5" x14ac:dyDescent="0.3">
      <c r="A104" s="22" t="s">
        <v>355</v>
      </c>
      <c r="B104" s="22">
        <v>2026</v>
      </c>
      <c r="C104" s="22">
        <v>5</v>
      </c>
      <c r="D104" s="22">
        <v>34</v>
      </c>
      <c r="E104" s="22">
        <v>9</v>
      </c>
    </row>
    <row r="105" spans="1:5" x14ac:dyDescent="0.3">
      <c r="A105" s="22" t="s">
        <v>358</v>
      </c>
      <c r="B105" s="22">
        <v>2026</v>
      </c>
      <c r="C105" s="22">
        <v>3</v>
      </c>
      <c r="D105" s="22">
        <v>57</v>
      </c>
      <c r="E105" s="22">
        <v>1</v>
      </c>
    </row>
    <row r="106" spans="1:5" x14ac:dyDescent="0.3">
      <c r="A106" s="22" t="s">
        <v>361</v>
      </c>
      <c r="B106" s="22">
        <v>2026</v>
      </c>
      <c r="C106" s="22">
        <v>3</v>
      </c>
      <c r="D106" s="22">
        <v>24</v>
      </c>
      <c r="E106" s="22">
        <v>9</v>
      </c>
    </row>
    <row r="107" spans="1:5" x14ac:dyDescent="0.3">
      <c r="A107" s="22" t="s">
        <v>364</v>
      </c>
      <c r="B107" s="22">
        <v>2026</v>
      </c>
      <c r="C107" s="22">
        <v>5</v>
      </c>
      <c r="D107" s="22">
        <v>6</v>
      </c>
      <c r="E107" s="22">
        <v>5</v>
      </c>
    </row>
    <row r="108" spans="1:5" x14ac:dyDescent="0.3">
      <c r="A108" s="22" t="s">
        <v>367</v>
      </c>
      <c r="B108" s="22">
        <v>2026</v>
      </c>
      <c r="C108" s="22">
        <v>1</v>
      </c>
      <c r="D108" s="22">
        <v>49</v>
      </c>
      <c r="E108" s="22">
        <v>9</v>
      </c>
    </row>
    <row r="109" spans="1:5" x14ac:dyDescent="0.3">
      <c r="A109" s="22" t="s">
        <v>370</v>
      </c>
      <c r="B109" s="22">
        <v>2026</v>
      </c>
      <c r="C109" s="22">
        <v>1</v>
      </c>
      <c r="D109" s="22">
        <v>23</v>
      </c>
      <c r="E109" s="22">
        <v>11</v>
      </c>
    </row>
    <row r="110" spans="1:5" x14ac:dyDescent="0.3">
      <c r="A110" s="22" t="s">
        <v>373</v>
      </c>
      <c r="B110" s="22">
        <v>2026</v>
      </c>
      <c r="C110" s="22">
        <v>3</v>
      </c>
      <c r="D110" s="22">
        <v>38</v>
      </c>
      <c r="E110" s="22">
        <v>3</v>
      </c>
    </row>
    <row r="111" spans="1:5" x14ac:dyDescent="0.3">
      <c r="A111" s="22" t="s">
        <v>376</v>
      </c>
      <c r="B111" s="22">
        <v>2026</v>
      </c>
      <c r="C111" s="22">
        <v>4</v>
      </c>
      <c r="D111" s="22">
        <v>50</v>
      </c>
      <c r="E111" s="22">
        <v>7</v>
      </c>
    </row>
    <row r="112" spans="1:5" x14ac:dyDescent="0.3">
      <c r="A112" s="22" t="s">
        <v>379</v>
      </c>
      <c r="B112" s="22">
        <v>2026</v>
      </c>
      <c r="C112" s="22">
        <v>5</v>
      </c>
      <c r="D112" s="22">
        <v>12</v>
      </c>
      <c r="E112" s="22">
        <v>0</v>
      </c>
    </row>
    <row r="113" spans="1:5" x14ac:dyDescent="0.3">
      <c r="A113" s="22" t="s">
        <v>382</v>
      </c>
      <c r="B113" s="22">
        <v>2026</v>
      </c>
      <c r="C113" s="22">
        <v>2</v>
      </c>
      <c r="D113" s="22">
        <v>52</v>
      </c>
      <c r="E113" s="22">
        <v>12</v>
      </c>
    </row>
    <row r="114" spans="1:5" x14ac:dyDescent="0.3">
      <c r="A114" s="22" t="s">
        <v>385</v>
      </c>
      <c r="B114" s="22">
        <v>2026</v>
      </c>
      <c r="C114" s="22">
        <v>5</v>
      </c>
      <c r="D114" s="22">
        <v>32</v>
      </c>
      <c r="E114" s="22">
        <v>11</v>
      </c>
    </row>
    <row r="115" spans="1:5" x14ac:dyDescent="0.3">
      <c r="A115" s="22" t="s">
        <v>388</v>
      </c>
      <c r="B115" s="22">
        <v>2026</v>
      </c>
      <c r="C115" s="22">
        <v>3</v>
      </c>
      <c r="D115" s="22">
        <v>10</v>
      </c>
      <c r="E115" s="22">
        <v>8</v>
      </c>
    </row>
    <row r="116" spans="1:5" x14ac:dyDescent="0.3">
      <c r="A116" s="22" t="s">
        <v>391</v>
      </c>
      <c r="B116" s="22">
        <v>2026</v>
      </c>
      <c r="C116" s="22">
        <v>1</v>
      </c>
      <c r="D116" s="22">
        <v>47</v>
      </c>
      <c r="E116" s="22">
        <v>11</v>
      </c>
    </row>
    <row r="117" spans="1:5" x14ac:dyDescent="0.3">
      <c r="A117" s="22" t="s">
        <v>394</v>
      </c>
      <c r="B117" s="22">
        <v>2026</v>
      </c>
      <c r="C117" s="22">
        <v>5</v>
      </c>
      <c r="D117" s="22">
        <v>10</v>
      </c>
      <c r="E117" s="22">
        <v>1</v>
      </c>
    </row>
    <row r="118" spans="1:5" x14ac:dyDescent="0.3">
      <c r="A118" s="22" t="s">
        <v>397</v>
      </c>
      <c r="B118" s="22">
        <v>2026</v>
      </c>
      <c r="C118" s="22">
        <v>1</v>
      </c>
      <c r="D118" s="22">
        <v>54</v>
      </c>
      <c r="E118" s="22">
        <v>5</v>
      </c>
    </row>
    <row r="119" spans="1:5" x14ac:dyDescent="0.3">
      <c r="A119" s="22" t="s">
        <v>399</v>
      </c>
      <c r="B119" s="22">
        <v>2026</v>
      </c>
      <c r="C119" s="22">
        <v>5</v>
      </c>
      <c r="D119" s="22">
        <v>32</v>
      </c>
      <c r="E119" s="22">
        <v>12</v>
      </c>
    </row>
    <row r="120" spans="1:5" x14ac:dyDescent="0.3">
      <c r="A120" s="22" t="s">
        <v>402</v>
      </c>
      <c r="B120" s="22">
        <v>2026</v>
      </c>
      <c r="C120" s="22">
        <v>2</v>
      </c>
      <c r="D120" s="22">
        <v>60</v>
      </c>
      <c r="E120" s="22">
        <v>2</v>
      </c>
    </row>
    <row r="121" spans="1:5" x14ac:dyDescent="0.3">
      <c r="A121" s="22" t="s">
        <v>405</v>
      </c>
      <c r="B121" s="22">
        <v>2026</v>
      </c>
      <c r="C121" s="22">
        <v>2</v>
      </c>
      <c r="D121" s="22">
        <v>37</v>
      </c>
      <c r="E121" s="22">
        <v>11</v>
      </c>
    </row>
    <row r="122" spans="1:5" x14ac:dyDescent="0.3">
      <c r="A122" s="22" t="s">
        <v>408</v>
      </c>
      <c r="B122" s="22">
        <v>2026</v>
      </c>
      <c r="C122" s="22">
        <v>1</v>
      </c>
      <c r="D122" s="22">
        <v>4</v>
      </c>
      <c r="E122" s="22">
        <v>4</v>
      </c>
    </row>
    <row r="123" spans="1:5" x14ac:dyDescent="0.3">
      <c r="A123" s="22" t="s">
        <v>411</v>
      </c>
      <c r="B123" s="22">
        <v>2026</v>
      </c>
      <c r="C123" s="22">
        <v>5</v>
      </c>
      <c r="D123" s="22">
        <v>58</v>
      </c>
      <c r="E123" s="22">
        <v>8</v>
      </c>
    </row>
    <row r="124" spans="1:5" x14ac:dyDescent="0.3">
      <c r="A124" s="22" t="s">
        <v>414</v>
      </c>
      <c r="B124" s="22">
        <v>2026</v>
      </c>
      <c r="C124" s="22">
        <v>4</v>
      </c>
      <c r="D124" s="22">
        <v>17</v>
      </c>
      <c r="E124" s="22">
        <v>12</v>
      </c>
    </row>
    <row r="125" spans="1:5" x14ac:dyDescent="0.3">
      <c r="A125" s="22" t="s">
        <v>417</v>
      </c>
      <c r="B125" s="22">
        <v>2026</v>
      </c>
      <c r="C125" s="22">
        <v>4</v>
      </c>
      <c r="D125" s="22">
        <v>26</v>
      </c>
      <c r="E125" s="22">
        <v>9</v>
      </c>
    </row>
    <row r="126" spans="1:5" x14ac:dyDescent="0.3">
      <c r="A126" s="22" t="s">
        <v>420</v>
      </c>
      <c r="B126" s="22">
        <v>2026</v>
      </c>
      <c r="C126" s="22">
        <v>4</v>
      </c>
      <c r="D126" s="22">
        <v>60</v>
      </c>
      <c r="E126" s="22">
        <v>3</v>
      </c>
    </row>
    <row r="127" spans="1:5" x14ac:dyDescent="0.3">
      <c r="A127" s="22" t="s">
        <v>423</v>
      </c>
      <c r="B127" s="22">
        <v>2026</v>
      </c>
      <c r="C127" s="22">
        <v>2</v>
      </c>
      <c r="D127" s="22">
        <v>17</v>
      </c>
      <c r="E127" s="22">
        <v>7</v>
      </c>
    </row>
    <row r="128" spans="1:5" x14ac:dyDescent="0.3">
      <c r="A128" s="22" t="s">
        <v>426</v>
      </c>
      <c r="B128" s="22">
        <v>2026</v>
      </c>
      <c r="C128" s="22">
        <v>5</v>
      </c>
      <c r="D128" s="22">
        <v>56</v>
      </c>
      <c r="E128" s="22">
        <v>6</v>
      </c>
    </row>
    <row r="129" spans="1:5" x14ac:dyDescent="0.3">
      <c r="A129" s="22" t="s">
        <v>429</v>
      </c>
      <c r="B129" s="22">
        <v>2026</v>
      </c>
      <c r="C129" s="22">
        <v>1</v>
      </c>
      <c r="D129" s="22">
        <v>14</v>
      </c>
      <c r="E129" s="22">
        <v>6</v>
      </c>
    </row>
    <row r="130" spans="1:5" x14ac:dyDescent="0.3">
      <c r="A130" s="22" t="s">
        <v>432</v>
      </c>
      <c r="B130" s="22">
        <v>2026</v>
      </c>
      <c r="C130" s="22">
        <v>5</v>
      </c>
      <c r="D130" s="22">
        <v>54</v>
      </c>
      <c r="E130" s="22">
        <v>6</v>
      </c>
    </row>
    <row r="131" spans="1:5" x14ac:dyDescent="0.3">
      <c r="A131" s="22" t="s">
        <v>435</v>
      </c>
      <c r="B131" s="22">
        <v>2026</v>
      </c>
      <c r="C131" s="22">
        <v>1</v>
      </c>
      <c r="D131" s="22">
        <v>18</v>
      </c>
      <c r="E131" s="22">
        <v>9</v>
      </c>
    </row>
    <row r="132" spans="1:5" x14ac:dyDescent="0.3">
      <c r="A132" s="22" t="s">
        <v>438</v>
      </c>
      <c r="B132" s="22">
        <v>2026</v>
      </c>
      <c r="C132" s="22">
        <v>5</v>
      </c>
      <c r="D132" s="22">
        <v>13</v>
      </c>
      <c r="E132" s="22">
        <v>1</v>
      </c>
    </row>
    <row r="133" spans="1:5" x14ac:dyDescent="0.3">
      <c r="A133" s="22" t="s">
        <v>441</v>
      </c>
      <c r="B133" s="22">
        <v>2026</v>
      </c>
      <c r="C133" s="22">
        <v>5</v>
      </c>
      <c r="D133" s="22">
        <v>36</v>
      </c>
      <c r="E133" s="22">
        <v>11</v>
      </c>
    </row>
    <row r="134" spans="1:5" x14ac:dyDescent="0.3">
      <c r="A134" s="22" t="s">
        <v>444</v>
      </c>
      <c r="B134" s="22">
        <v>2026</v>
      </c>
      <c r="C134" s="22">
        <v>4</v>
      </c>
      <c r="D134" s="22">
        <v>26</v>
      </c>
      <c r="E134" s="22">
        <v>3</v>
      </c>
    </row>
    <row r="135" spans="1:5" x14ac:dyDescent="0.3">
      <c r="A135" s="22" t="s">
        <v>447</v>
      </c>
      <c r="B135" s="22">
        <v>2026</v>
      </c>
      <c r="C135" s="22">
        <v>2</v>
      </c>
      <c r="D135" s="22">
        <v>50</v>
      </c>
      <c r="E135" s="22">
        <v>8</v>
      </c>
    </row>
    <row r="136" spans="1:5" x14ac:dyDescent="0.3">
      <c r="A136" s="22" t="s">
        <v>450</v>
      </c>
      <c r="B136" s="22">
        <v>2026</v>
      </c>
      <c r="C136" s="22">
        <v>1</v>
      </c>
      <c r="D136" s="22">
        <v>13</v>
      </c>
      <c r="E136" s="22">
        <v>11</v>
      </c>
    </row>
    <row r="137" spans="1:5" x14ac:dyDescent="0.3">
      <c r="A137" s="22" t="s">
        <v>453</v>
      </c>
      <c r="B137" s="22">
        <v>2026</v>
      </c>
      <c r="C137" s="22">
        <v>2</v>
      </c>
      <c r="D137" s="22">
        <v>31</v>
      </c>
      <c r="E137" s="22">
        <v>6</v>
      </c>
    </row>
    <row r="138" spans="1:5" x14ac:dyDescent="0.3">
      <c r="A138" s="22" t="s">
        <v>456</v>
      </c>
      <c r="B138" s="22">
        <v>2026</v>
      </c>
      <c r="C138" s="22">
        <v>3</v>
      </c>
      <c r="D138" s="22">
        <v>41</v>
      </c>
      <c r="E138" s="22">
        <v>11</v>
      </c>
    </row>
    <row r="139" spans="1:5" x14ac:dyDescent="0.3">
      <c r="A139" s="22" t="s">
        <v>459</v>
      </c>
      <c r="B139" s="22">
        <v>2026</v>
      </c>
      <c r="C139" s="22">
        <v>1</v>
      </c>
      <c r="D139" s="22">
        <v>48</v>
      </c>
      <c r="E139" s="22">
        <v>1</v>
      </c>
    </row>
    <row r="140" spans="1:5" x14ac:dyDescent="0.3">
      <c r="A140" s="22" t="s">
        <v>462</v>
      </c>
      <c r="B140" s="22">
        <v>2026</v>
      </c>
      <c r="C140" s="22">
        <v>5</v>
      </c>
      <c r="D140" s="22">
        <v>14</v>
      </c>
      <c r="E140" s="22">
        <v>0</v>
      </c>
    </row>
    <row r="141" spans="1:5" x14ac:dyDescent="0.3">
      <c r="A141" s="22" t="s">
        <v>465</v>
      </c>
      <c r="B141" s="22">
        <v>2026</v>
      </c>
      <c r="C141" s="22">
        <v>2</v>
      </c>
      <c r="D141" s="22">
        <v>46</v>
      </c>
      <c r="E141" s="22">
        <v>4</v>
      </c>
    </row>
    <row r="142" spans="1:5" x14ac:dyDescent="0.3">
      <c r="A142" s="22" t="s">
        <v>468</v>
      </c>
      <c r="B142" s="22">
        <v>2026</v>
      </c>
      <c r="C142" s="22">
        <v>3</v>
      </c>
      <c r="D142" s="22">
        <v>51</v>
      </c>
      <c r="E142" s="22">
        <v>6</v>
      </c>
    </row>
    <row r="143" spans="1:5" x14ac:dyDescent="0.3">
      <c r="A143" s="22" t="s">
        <v>471</v>
      </c>
      <c r="B143" s="22">
        <v>2026</v>
      </c>
      <c r="C143" s="22">
        <v>1</v>
      </c>
      <c r="D143" s="22">
        <v>25</v>
      </c>
      <c r="E143" s="22">
        <v>7</v>
      </c>
    </row>
    <row r="144" spans="1:5" x14ac:dyDescent="0.3">
      <c r="A144" s="22" t="s">
        <v>474</v>
      </c>
      <c r="B144" s="22">
        <v>2026</v>
      </c>
      <c r="C144" s="22">
        <v>3</v>
      </c>
      <c r="D144" s="22">
        <v>36</v>
      </c>
      <c r="E144" s="22">
        <v>3</v>
      </c>
    </row>
    <row r="145" spans="1:5" x14ac:dyDescent="0.3">
      <c r="A145" s="22" t="s">
        <v>477</v>
      </c>
      <c r="B145" s="22">
        <v>2026</v>
      </c>
      <c r="C145" s="22">
        <v>1</v>
      </c>
      <c r="D145" s="22">
        <v>9</v>
      </c>
      <c r="E145" s="22">
        <v>12</v>
      </c>
    </row>
    <row r="146" spans="1:5" x14ac:dyDescent="0.3">
      <c r="A146" s="22" t="s">
        <v>480</v>
      </c>
      <c r="B146" s="22">
        <v>2026</v>
      </c>
      <c r="C146" s="22">
        <v>1</v>
      </c>
      <c r="D146" s="22">
        <v>31</v>
      </c>
      <c r="E146" s="22">
        <v>2</v>
      </c>
    </row>
    <row r="147" spans="1:5" x14ac:dyDescent="0.3">
      <c r="A147" s="22" t="s">
        <v>483</v>
      </c>
      <c r="B147" s="22">
        <v>2026</v>
      </c>
      <c r="C147" s="22">
        <v>3</v>
      </c>
      <c r="D147" s="22">
        <v>27</v>
      </c>
      <c r="E147" s="22">
        <v>11</v>
      </c>
    </row>
    <row r="148" spans="1:5" x14ac:dyDescent="0.3">
      <c r="A148" s="22" t="s">
        <v>486</v>
      </c>
      <c r="B148" s="22">
        <v>2026</v>
      </c>
      <c r="C148" s="22">
        <v>5</v>
      </c>
      <c r="D148" s="22">
        <v>18</v>
      </c>
      <c r="E148" s="22">
        <v>9</v>
      </c>
    </row>
    <row r="149" spans="1:5" x14ac:dyDescent="0.3">
      <c r="A149" s="22" t="s">
        <v>489</v>
      </c>
      <c r="B149" s="22">
        <v>2026</v>
      </c>
      <c r="C149" s="22">
        <v>5</v>
      </c>
      <c r="D149" s="22">
        <v>13</v>
      </c>
      <c r="E149" s="22">
        <v>3</v>
      </c>
    </row>
    <row r="150" spans="1:5" x14ac:dyDescent="0.3">
      <c r="A150" s="22" t="s">
        <v>492</v>
      </c>
      <c r="B150" s="22">
        <v>2026</v>
      </c>
      <c r="C150" s="22">
        <v>4</v>
      </c>
      <c r="D150" s="22">
        <v>12</v>
      </c>
      <c r="E150" s="22">
        <v>7</v>
      </c>
    </row>
    <row r="151" spans="1:5" x14ac:dyDescent="0.3">
      <c r="A151" s="22" t="s">
        <v>494</v>
      </c>
      <c r="B151" s="22">
        <v>2026</v>
      </c>
      <c r="C151" s="22">
        <v>1</v>
      </c>
      <c r="D151" s="22">
        <v>27</v>
      </c>
      <c r="E151" s="22">
        <v>0</v>
      </c>
    </row>
    <row r="152" spans="1:5" x14ac:dyDescent="0.3">
      <c r="A152" s="22" t="s">
        <v>497</v>
      </c>
      <c r="B152" s="22">
        <v>2026</v>
      </c>
      <c r="C152" s="22">
        <v>2</v>
      </c>
      <c r="D152" s="22">
        <v>3</v>
      </c>
      <c r="E152" s="22">
        <v>8</v>
      </c>
    </row>
    <row r="153" spans="1:5" x14ac:dyDescent="0.3">
      <c r="A153" s="22" t="s">
        <v>500</v>
      </c>
      <c r="B153" s="22">
        <v>2026</v>
      </c>
      <c r="C153" s="22">
        <v>5</v>
      </c>
      <c r="D153" s="22">
        <v>55</v>
      </c>
      <c r="E153" s="22">
        <v>6</v>
      </c>
    </row>
    <row r="154" spans="1:5" x14ac:dyDescent="0.3">
      <c r="A154" s="22" t="s">
        <v>503</v>
      </c>
      <c r="B154" s="22">
        <v>2026</v>
      </c>
      <c r="C154" s="22">
        <v>5</v>
      </c>
      <c r="D154" s="22">
        <v>16</v>
      </c>
      <c r="E154" s="22">
        <v>3</v>
      </c>
    </row>
    <row r="155" spans="1:5" x14ac:dyDescent="0.3">
      <c r="A155" s="22" t="s">
        <v>506</v>
      </c>
      <c r="B155" s="22">
        <v>2026</v>
      </c>
      <c r="C155" s="22">
        <v>2</v>
      </c>
      <c r="D155" s="22">
        <v>29</v>
      </c>
      <c r="E155" s="22">
        <v>9</v>
      </c>
    </row>
    <row r="156" spans="1:5" x14ac:dyDescent="0.3">
      <c r="A156" s="22" t="s">
        <v>509</v>
      </c>
      <c r="B156" s="22">
        <v>2026</v>
      </c>
      <c r="C156" s="22">
        <v>2</v>
      </c>
      <c r="D156" s="22">
        <v>3</v>
      </c>
      <c r="E156" s="22">
        <v>10</v>
      </c>
    </row>
    <row r="157" spans="1:5" x14ac:dyDescent="0.3">
      <c r="A157" s="22" t="s">
        <v>512</v>
      </c>
      <c r="B157" s="22">
        <v>2026</v>
      </c>
      <c r="C157" s="22">
        <v>3</v>
      </c>
      <c r="D157" s="22">
        <v>59</v>
      </c>
      <c r="E157" s="22">
        <v>1</v>
      </c>
    </row>
    <row r="158" spans="1:5" x14ac:dyDescent="0.3">
      <c r="A158" s="22" t="s">
        <v>515</v>
      </c>
      <c r="B158" s="22">
        <v>2026</v>
      </c>
      <c r="C158" s="22">
        <v>5</v>
      </c>
      <c r="D158" s="22">
        <v>29</v>
      </c>
      <c r="E158" s="22">
        <v>11</v>
      </c>
    </row>
    <row r="159" spans="1:5" x14ac:dyDescent="0.3">
      <c r="A159" s="22" t="s">
        <v>518</v>
      </c>
      <c r="B159" s="22">
        <v>2026</v>
      </c>
      <c r="C159" s="22">
        <v>3</v>
      </c>
      <c r="D159" s="22">
        <v>8</v>
      </c>
      <c r="E159" s="22">
        <v>11</v>
      </c>
    </row>
    <row r="160" spans="1:5" x14ac:dyDescent="0.3">
      <c r="A160" s="22" t="s">
        <v>521</v>
      </c>
      <c r="B160" s="22">
        <v>2026</v>
      </c>
      <c r="C160" s="22">
        <v>5</v>
      </c>
      <c r="D160" s="22">
        <v>42</v>
      </c>
      <c r="E160" s="22">
        <v>4</v>
      </c>
    </row>
    <row r="161" spans="1:5" x14ac:dyDescent="0.3">
      <c r="A161" s="22" t="s">
        <v>524</v>
      </c>
      <c r="B161" s="22">
        <v>2026</v>
      </c>
      <c r="C161" s="22">
        <v>4</v>
      </c>
      <c r="D161" s="22">
        <v>57</v>
      </c>
      <c r="E161" s="22">
        <v>4</v>
      </c>
    </row>
    <row r="162" spans="1:5" x14ac:dyDescent="0.3">
      <c r="A162" s="22" t="s">
        <v>527</v>
      </c>
      <c r="B162" s="22">
        <v>2026</v>
      </c>
      <c r="C162" s="22">
        <v>3</v>
      </c>
      <c r="D162" s="22">
        <v>4</v>
      </c>
      <c r="E162" s="22">
        <v>7</v>
      </c>
    </row>
    <row r="163" spans="1:5" x14ac:dyDescent="0.3">
      <c r="A163" s="22" t="s">
        <v>530</v>
      </c>
      <c r="B163" s="22">
        <v>2026</v>
      </c>
      <c r="C163" s="22">
        <v>4</v>
      </c>
      <c r="D163" s="22">
        <v>14</v>
      </c>
      <c r="E163" s="22">
        <v>9</v>
      </c>
    </row>
    <row r="164" spans="1:5" x14ac:dyDescent="0.3">
      <c r="A164" s="22" t="s">
        <v>532</v>
      </c>
      <c r="B164" s="22">
        <v>2026</v>
      </c>
      <c r="C164" s="22">
        <v>4</v>
      </c>
      <c r="D164" s="22">
        <v>20</v>
      </c>
      <c r="E164" s="22">
        <v>7</v>
      </c>
    </row>
    <row r="165" spans="1:5" x14ac:dyDescent="0.3">
      <c r="A165" s="22" t="s">
        <v>535</v>
      </c>
      <c r="B165" s="22">
        <v>2026</v>
      </c>
      <c r="C165" s="22">
        <v>3</v>
      </c>
      <c r="D165" s="22">
        <v>20</v>
      </c>
      <c r="E165" s="22">
        <v>1</v>
      </c>
    </row>
    <row r="166" spans="1:5" x14ac:dyDescent="0.3">
      <c r="A166" s="22" t="s">
        <v>538</v>
      </c>
      <c r="B166" s="22">
        <v>2026</v>
      </c>
      <c r="C166" s="22">
        <v>5</v>
      </c>
      <c r="D166" s="22">
        <v>16</v>
      </c>
      <c r="E166" s="22">
        <v>1</v>
      </c>
    </row>
    <row r="167" spans="1:5" x14ac:dyDescent="0.3">
      <c r="A167" s="22" t="s">
        <v>541</v>
      </c>
      <c r="B167" s="22">
        <v>2026</v>
      </c>
      <c r="C167" s="22">
        <v>2</v>
      </c>
      <c r="D167" s="22">
        <v>18</v>
      </c>
      <c r="E167" s="22">
        <v>6</v>
      </c>
    </row>
    <row r="168" spans="1:5" x14ac:dyDescent="0.3">
      <c r="A168" s="22" t="s">
        <v>544</v>
      </c>
      <c r="B168" s="22">
        <v>2026</v>
      </c>
      <c r="C168" s="22">
        <v>1</v>
      </c>
      <c r="D168" s="22">
        <v>60</v>
      </c>
      <c r="E168" s="22">
        <v>3</v>
      </c>
    </row>
    <row r="169" spans="1:5" x14ac:dyDescent="0.3">
      <c r="A169" s="22" t="s">
        <v>547</v>
      </c>
      <c r="B169" s="22">
        <v>2026</v>
      </c>
      <c r="C169" s="22">
        <v>2</v>
      </c>
      <c r="D169" s="22">
        <v>21</v>
      </c>
      <c r="E169" s="22">
        <v>2</v>
      </c>
    </row>
    <row r="170" spans="1:5" x14ac:dyDescent="0.3">
      <c r="A170" s="22" t="s">
        <v>550</v>
      </c>
      <c r="B170" s="22">
        <v>2026</v>
      </c>
      <c r="C170" s="22">
        <v>2</v>
      </c>
      <c r="D170" s="22">
        <v>21</v>
      </c>
      <c r="E170" s="22">
        <v>1</v>
      </c>
    </row>
    <row r="171" spans="1:5" x14ac:dyDescent="0.3">
      <c r="A171" s="22" t="s">
        <v>553</v>
      </c>
      <c r="B171" s="22">
        <v>2026</v>
      </c>
      <c r="C171" s="22">
        <v>1</v>
      </c>
      <c r="D171" s="22">
        <v>16</v>
      </c>
      <c r="E171" s="22">
        <v>10</v>
      </c>
    </row>
    <row r="172" spans="1:5" x14ac:dyDescent="0.3">
      <c r="A172" s="22" t="s">
        <v>556</v>
      </c>
      <c r="B172" s="22">
        <v>2026</v>
      </c>
      <c r="C172" s="22">
        <v>5</v>
      </c>
      <c r="D172" s="22">
        <v>43</v>
      </c>
      <c r="E172" s="22">
        <v>4</v>
      </c>
    </row>
    <row r="173" spans="1:5" x14ac:dyDescent="0.3">
      <c r="A173" s="22" t="s">
        <v>559</v>
      </c>
      <c r="B173" s="22">
        <v>2026</v>
      </c>
      <c r="C173" s="22">
        <v>5</v>
      </c>
      <c r="D173" s="22">
        <v>10</v>
      </c>
      <c r="E173" s="22">
        <v>11</v>
      </c>
    </row>
    <row r="174" spans="1:5" x14ac:dyDescent="0.3">
      <c r="A174" s="22" t="s">
        <v>562</v>
      </c>
      <c r="B174" s="22">
        <v>2026</v>
      </c>
      <c r="C174" s="22">
        <v>3</v>
      </c>
      <c r="D174" s="22">
        <v>52</v>
      </c>
      <c r="E174" s="22">
        <v>0</v>
      </c>
    </row>
    <row r="175" spans="1:5" x14ac:dyDescent="0.3">
      <c r="A175" s="22" t="s">
        <v>565</v>
      </c>
      <c r="B175" s="22">
        <v>2026</v>
      </c>
      <c r="C175" s="22">
        <v>1</v>
      </c>
      <c r="D175" s="22">
        <v>36</v>
      </c>
      <c r="E175" s="22">
        <v>11</v>
      </c>
    </row>
    <row r="176" spans="1:5" x14ac:dyDescent="0.3">
      <c r="A176" s="22" t="s">
        <v>568</v>
      </c>
      <c r="B176" s="22">
        <v>2026</v>
      </c>
      <c r="C176" s="22">
        <v>1</v>
      </c>
      <c r="D176" s="22">
        <v>45</v>
      </c>
      <c r="E176" s="22">
        <v>9</v>
      </c>
    </row>
    <row r="177" spans="1:5" x14ac:dyDescent="0.3">
      <c r="A177" s="22" t="s">
        <v>571</v>
      </c>
      <c r="B177" s="22">
        <v>2026</v>
      </c>
      <c r="C177" s="22">
        <v>5</v>
      </c>
      <c r="D177" s="22">
        <v>22</v>
      </c>
      <c r="E177" s="22">
        <v>0</v>
      </c>
    </row>
    <row r="178" spans="1:5" x14ac:dyDescent="0.3">
      <c r="A178" s="22" t="s">
        <v>574</v>
      </c>
      <c r="B178" s="22">
        <v>2026</v>
      </c>
      <c r="C178" s="22">
        <v>4</v>
      </c>
      <c r="D178" s="22">
        <v>49</v>
      </c>
      <c r="E178" s="22">
        <v>7</v>
      </c>
    </row>
    <row r="179" spans="1:5" x14ac:dyDescent="0.3">
      <c r="A179" s="22" t="s">
        <v>577</v>
      </c>
      <c r="B179" s="22">
        <v>2026</v>
      </c>
      <c r="C179" s="22">
        <v>3</v>
      </c>
      <c r="D179" s="22">
        <v>9</v>
      </c>
      <c r="E179" s="22">
        <v>2</v>
      </c>
    </row>
    <row r="180" spans="1:5" x14ac:dyDescent="0.3">
      <c r="A180" s="22" t="s">
        <v>580</v>
      </c>
      <c r="B180" s="22">
        <v>2026</v>
      </c>
      <c r="C180" s="22">
        <v>4</v>
      </c>
      <c r="D180" s="22">
        <v>39</v>
      </c>
      <c r="E180" s="22">
        <v>6</v>
      </c>
    </row>
    <row r="181" spans="1:5" x14ac:dyDescent="0.3">
      <c r="A181" s="22" t="s">
        <v>583</v>
      </c>
      <c r="B181" s="22">
        <v>2026</v>
      </c>
      <c r="C181" s="22">
        <v>2</v>
      </c>
      <c r="D181" s="22">
        <v>35</v>
      </c>
      <c r="E181" s="22">
        <v>9</v>
      </c>
    </row>
    <row r="182" spans="1:5" x14ac:dyDescent="0.3">
      <c r="A182" s="22" t="s">
        <v>586</v>
      </c>
      <c r="B182" s="22">
        <v>2026</v>
      </c>
      <c r="C182" s="22">
        <v>2</v>
      </c>
      <c r="D182" s="22">
        <v>24</v>
      </c>
      <c r="E182" s="22">
        <v>9</v>
      </c>
    </row>
    <row r="183" spans="1:5" x14ac:dyDescent="0.3">
      <c r="A183" s="22" t="s">
        <v>589</v>
      </c>
      <c r="B183" s="22">
        <v>2026</v>
      </c>
      <c r="C183" s="22">
        <v>4</v>
      </c>
      <c r="D183" s="22">
        <v>45</v>
      </c>
      <c r="E183" s="22">
        <v>9</v>
      </c>
    </row>
    <row r="184" spans="1:5" x14ac:dyDescent="0.3">
      <c r="A184" s="22" t="s">
        <v>592</v>
      </c>
      <c r="B184" s="22">
        <v>2026</v>
      </c>
      <c r="C184" s="22">
        <v>4</v>
      </c>
      <c r="D184" s="22">
        <v>40</v>
      </c>
      <c r="E184" s="22">
        <v>7</v>
      </c>
    </row>
    <row r="185" spans="1:5" x14ac:dyDescent="0.3">
      <c r="A185" s="22" t="s">
        <v>595</v>
      </c>
      <c r="B185" s="22">
        <v>2026</v>
      </c>
      <c r="C185" s="22">
        <v>1</v>
      </c>
      <c r="D185" s="22">
        <v>11</v>
      </c>
      <c r="E185" s="22">
        <v>9</v>
      </c>
    </row>
    <row r="186" spans="1:5" x14ac:dyDescent="0.3">
      <c r="A186" s="22" t="s">
        <v>598</v>
      </c>
      <c r="B186" s="22">
        <v>2026</v>
      </c>
      <c r="C186" s="22">
        <v>4</v>
      </c>
      <c r="D186" s="22">
        <v>19</v>
      </c>
      <c r="E186" s="22">
        <v>9</v>
      </c>
    </row>
    <row r="187" spans="1:5" x14ac:dyDescent="0.3">
      <c r="A187" s="22" t="s">
        <v>600</v>
      </c>
      <c r="B187" s="22">
        <v>2026</v>
      </c>
      <c r="C187" s="22">
        <v>2</v>
      </c>
      <c r="D187" s="22">
        <v>36</v>
      </c>
      <c r="E187" s="22">
        <v>0</v>
      </c>
    </row>
    <row r="188" spans="1:5" x14ac:dyDescent="0.3">
      <c r="A188" s="22" t="s">
        <v>603</v>
      </c>
      <c r="B188" s="22">
        <v>2026</v>
      </c>
      <c r="C188" s="22">
        <v>3</v>
      </c>
      <c r="D188" s="22">
        <v>39</v>
      </c>
      <c r="E188" s="22">
        <v>8</v>
      </c>
    </row>
    <row r="189" spans="1:5" x14ac:dyDescent="0.3">
      <c r="A189" s="22" t="s">
        <v>605</v>
      </c>
      <c r="B189" s="22">
        <v>2026</v>
      </c>
      <c r="C189" s="22">
        <v>3</v>
      </c>
      <c r="D189" s="22">
        <v>54</v>
      </c>
      <c r="E189" s="22">
        <v>11</v>
      </c>
    </row>
    <row r="190" spans="1:5" x14ac:dyDescent="0.3">
      <c r="A190" s="22" t="s">
        <v>608</v>
      </c>
      <c r="B190" s="22">
        <v>2026</v>
      </c>
      <c r="C190" s="22">
        <v>5</v>
      </c>
      <c r="D190" s="22">
        <v>47</v>
      </c>
      <c r="E190" s="22">
        <v>5</v>
      </c>
    </row>
    <row r="191" spans="1:5" x14ac:dyDescent="0.3">
      <c r="A191" s="22" t="s">
        <v>611</v>
      </c>
      <c r="B191" s="22">
        <v>2026</v>
      </c>
      <c r="C191" s="22">
        <v>5</v>
      </c>
      <c r="D191" s="22">
        <v>43</v>
      </c>
      <c r="E191" s="22">
        <v>5</v>
      </c>
    </row>
    <row r="192" spans="1:5" x14ac:dyDescent="0.3">
      <c r="A192" s="22" t="s">
        <v>614</v>
      </c>
      <c r="B192" s="22">
        <v>2026</v>
      </c>
      <c r="C192" s="22">
        <v>2</v>
      </c>
      <c r="D192" s="22">
        <v>31</v>
      </c>
      <c r="E192" s="22">
        <v>3</v>
      </c>
    </row>
    <row r="193" spans="1:5" x14ac:dyDescent="0.3">
      <c r="A193" s="22" t="s">
        <v>617</v>
      </c>
      <c r="B193" s="22">
        <v>2026</v>
      </c>
      <c r="C193" s="22">
        <v>3</v>
      </c>
      <c r="D193" s="22">
        <v>16</v>
      </c>
      <c r="E193" s="22">
        <v>11</v>
      </c>
    </row>
    <row r="194" spans="1:5" x14ac:dyDescent="0.3">
      <c r="A194" s="22" t="s">
        <v>620</v>
      </c>
      <c r="B194" s="22">
        <v>2026</v>
      </c>
      <c r="C194" s="22">
        <v>3</v>
      </c>
      <c r="D194" s="22">
        <v>9</v>
      </c>
      <c r="E194" s="22">
        <v>12</v>
      </c>
    </row>
    <row r="195" spans="1:5" x14ac:dyDescent="0.3">
      <c r="A195" s="22" t="s">
        <v>623</v>
      </c>
      <c r="B195" s="22">
        <v>2026</v>
      </c>
      <c r="C195" s="22">
        <v>3</v>
      </c>
      <c r="D195" s="22">
        <v>32</v>
      </c>
      <c r="E195" s="22">
        <v>9</v>
      </c>
    </row>
    <row r="196" spans="1:5" x14ac:dyDescent="0.3">
      <c r="A196" s="22" t="s">
        <v>626</v>
      </c>
      <c r="B196" s="22">
        <v>2026</v>
      </c>
      <c r="C196" s="22">
        <v>2</v>
      </c>
      <c r="D196" s="22">
        <v>51</v>
      </c>
      <c r="E196" s="22">
        <v>7</v>
      </c>
    </row>
    <row r="197" spans="1:5" x14ac:dyDescent="0.3">
      <c r="A197" s="22" t="s">
        <v>629</v>
      </c>
      <c r="B197" s="22">
        <v>2026</v>
      </c>
      <c r="C197" s="22">
        <v>3</v>
      </c>
      <c r="D197" s="22">
        <v>2</v>
      </c>
      <c r="E197" s="22">
        <v>4</v>
      </c>
    </row>
    <row r="198" spans="1:5" x14ac:dyDescent="0.3">
      <c r="A198" s="22" t="s">
        <v>632</v>
      </c>
      <c r="B198" s="22">
        <v>2026</v>
      </c>
      <c r="C198" s="22">
        <v>2</v>
      </c>
      <c r="D198" s="22">
        <v>42</v>
      </c>
      <c r="E198" s="22">
        <v>6</v>
      </c>
    </row>
    <row r="199" spans="1:5" x14ac:dyDescent="0.3">
      <c r="A199" s="22" t="s">
        <v>635</v>
      </c>
      <c r="B199" s="22">
        <v>2026</v>
      </c>
      <c r="C199" s="22">
        <v>2</v>
      </c>
      <c r="D199" s="22">
        <v>2</v>
      </c>
      <c r="E199" s="22">
        <v>9</v>
      </c>
    </row>
    <row r="200" spans="1:5" x14ac:dyDescent="0.3">
      <c r="A200" s="22" t="s">
        <v>637</v>
      </c>
      <c r="B200" s="22">
        <v>2026</v>
      </c>
      <c r="C200" s="22">
        <v>5</v>
      </c>
      <c r="D200" s="22">
        <v>44</v>
      </c>
      <c r="E200" s="22">
        <v>11</v>
      </c>
    </row>
    <row r="201" spans="1:5" x14ac:dyDescent="0.3">
      <c r="A201" s="22" t="s">
        <v>640</v>
      </c>
      <c r="B201" s="22">
        <v>2026</v>
      </c>
      <c r="C201" s="22">
        <v>1</v>
      </c>
      <c r="D201" s="22">
        <v>43</v>
      </c>
      <c r="E201" s="22">
        <v>9</v>
      </c>
    </row>
    <row r="202" spans="1:5" x14ac:dyDescent="0.3">
      <c r="A202" s="22" t="s">
        <v>643</v>
      </c>
      <c r="B202" s="22">
        <v>2026</v>
      </c>
      <c r="C202" s="22">
        <v>3</v>
      </c>
      <c r="D202" s="22">
        <v>28</v>
      </c>
      <c r="E202" s="22">
        <v>12</v>
      </c>
    </row>
    <row r="203" spans="1:5" x14ac:dyDescent="0.3">
      <c r="A203" s="22" t="s">
        <v>646</v>
      </c>
      <c r="B203" s="22">
        <v>2026</v>
      </c>
      <c r="C203" s="22">
        <v>2</v>
      </c>
      <c r="D203" s="22">
        <v>45</v>
      </c>
      <c r="E203" s="22">
        <v>3</v>
      </c>
    </row>
    <row r="204" spans="1:5" x14ac:dyDescent="0.3">
      <c r="A204" s="22" t="s">
        <v>649</v>
      </c>
      <c r="B204" s="22">
        <v>2026</v>
      </c>
      <c r="C204" s="22">
        <v>2</v>
      </c>
      <c r="D204" s="22">
        <v>15</v>
      </c>
      <c r="E204" s="22">
        <v>10</v>
      </c>
    </row>
    <row r="205" spans="1:5" x14ac:dyDescent="0.3">
      <c r="A205" s="22" t="s">
        <v>652</v>
      </c>
      <c r="B205" s="22">
        <v>2026</v>
      </c>
      <c r="C205" s="22">
        <v>4</v>
      </c>
      <c r="D205" s="22">
        <v>50</v>
      </c>
      <c r="E205" s="22">
        <v>12</v>
      </c>
    </row>
    <row r="206" spans="1:5" x14ac:dyDescent="0.3">
      <c r="A206" s="22" t="s">
        <v>655</v>
      </c>
      <c r="B206" s="22">
        <v>2026</v>
      </c>
      <c r="C206" s="22">
        <v>4</v>
      </c>
      <c r="D206" s="22">
        <v>32</v>
      </c>
      <c r="E206" s="22">
        <v>8</v>
      </c>
    </row>
    <row r="207" spans="1:5" x14ac:dyDescent="0.3">
      <c r="A207" s="22" t="s">
        <v>658</v>
      </c>
      <c r="B207" s="22">
        <v>2026</v>
      </c>
      <c r="C207" s="22">
        <v>1</v>
      </c>
      <c r="D207" s="22">
        <v>34</v>
      </c>
      <c r="E207" s="22">
        <v>5</v>
      </c>
    </row>
    <row r="208" spans="1:5" x14ac:dyDescent="0.3">
      <c r="A208" s="22" t="s">
        <v>660</v>
      </c>
      <c r="B208" s="22">
        <v>2026</v>
      </c>
      <c r="C208" s="22">
        <v>3</v>
      </c>
      <c r="D208" s="22">
        <v>45</v>
      </c>
      <c r="E208" s="22">
        <v>11</v>
      </c>
    </row>
    <row r="209" spans="1:5" x14ac:dyDescent="0.3">
      <c r="A209" s="22" t="s">
        <v>663</v>
      </c>
      <c r="B209" s="22">
        <v>2026</v>
      </c>
      <c r="C209" s="22">
        <v>3</v>
      </c>
      <c r="D209" s="22">
        <v>52</v>
      </c>
      <c r="E209" s="22">
        <v>9</v>
      </c>
    </row>
    <row r="210" spans="1:5" x14ac:dyDescent="0.3">
      <c r="A210" s="22" t="s">
        <v>666</v>
      </c>
      <c r="B210" s="22">
        <v>2026</v>
      </c>
      <c r="C210" s="22">
        <v>2</v>
      </c>
      <c r="D210" s="22">
        <v>56</v>
      </c>
      <c r="E210" s="22">
        <v>5</v>
      </c>
    </row>
    <row r="211" spans="1:5" x14ac:dyDescent="0.3">
      <c r="A211" s="22" t="s">
        <v>668</v>
      </c>
      <c r="B211" s="22">
        <v>2026</v>
      </c>
      <c r="C211" s="22">
        <v>5</v>
      </c>
      <c r="D211" s="22">
        <v>57</v>
      </c>
      <c r="E211" s="22">
        <v>5</v>
      </c>
    </row>
    <row r="212" spans="1:5" x14ac:dyDescent="0.3">
      <c r="A212" s="22" t="s">
        <v>671</v>
      </c>
      <c r="B212" s="22">
        <v>2026</v>
      </c>
      <c r="C212" s="22">
        <v>1</v>
      </c>
      <c r="D212" s="22">
        <v>44</v>
      </c>
      <c r="E212" s="22">
        <v>12</v>
      </c>
    </row>
    <row r="213" spans="1:5" x14ac:dyDescent="0.3">
      <c r="A213" s="22" t="s">
        <v>674</v>
      </c>
      <c r="B213" s="22">
        <v>2026</v>
      </c>
      <c r="C213" s="22">
        <v>4</v>
      </c>
      <c r="D213" s="22">
        <v>0</v>
      </c>
      <c r="E213" s="22">
        <v>5</v>
      </c>
    </row>
    <row r="214" spans="1:5" x14ac:dyDescent="0.3">
      <c r="A214" s="22" t="s">
        <v>677</v>
      </c>
      <c r="B214" s="22">
        <v>2026</v>
      </c>
      <c r="C214" s="22">
        <v>3</v>
      </c>
      <c r="D214" s="22">
        <v>2</v>
      </c>
      <c r="E214" s="22">
        <v>10</v>
      </c>
    </row>
    <row r="215" spans="1:5" x14ac:dyDescent="0.3">
      <c r="A215" s="22" t="s">
        <v>680</v>
      </c>
      <c r="B215" s="22">
        <v>2026</v>
      </c>
      <c r="C215" s="22">
        <v>3</v>
      </c>
      <c r="D215" s="22">
        <v>32</v>
      </c>
      <c r="E215" s="22">
        <v>4</v>
      </c>
    </row>
    <row r="216" spans="1:5" x14ac:dyDescent="0.3">
      <c r="A216" s="22" t="s">
        <v>683</v>
      </c>
      <c r="B216" s="22">
        <v>2026</v>
      </c>
      <c r="C216" s="22">
        <v>5</v>
      </c>
      <c r="D216" s="22">
        <v>45</v>
      </c>
      <c r="E216" s="22">
        <v>8</v>
      </c>
    </row>
    <row r="217" spans="1:5" x14ac:dyDescent="0.3">
      <c r="A217" s="22" t="s">
        <v>686</v>
      </c>
      <c r="B217" s="22">
        <v>2026</v>
      </c>
      <c r="C217" s="22">
        <v>3</v>
      </c>
      <c r="D217" s="22">
        <v>32</v>
      </c>
      <c r="E217" s="22">
        <v>9</v>
      </c>
    </row>
    <row r="218" spans="1:5" x14ac:dyDescent="0.3">
      <c r="A218" s="22" t="s">
        <v>689</v>
      </c>
      <c r="B218" s="22">
        <v>2026</v>
      </c>
      <c r="C218" s="22">
        <v>1</v>
      </c>
      <c r="D218" s="22">
        <v>47</v>
      </c>
      <c r="E218" s="22">
        <v>9</v>
      </c>
    </row>
    <row r="219" spans="1:5" x14ac:dyDescent="0.3">
      <c r="A219" s="22" t="s">
        <v>691</v>
      </c>
      <c r="B219" s="22">
        <v>2026</v>
      </c>
      <c r="C219" s="22">
        <v>3</v>
      </c>
      <c r="D219" s="22">
        <v>30</v>
      </c>
      <c r="E219" s="22">
        <v>9</v>
      </c>
    </row>
    <row r="220" spans="1:5" x14ac:dyDescent="0.3">
      <c r="A220" s="22" t="s">
        <v>694</v>
      </c>
      <c r="B220" s="22">
        <v>2026</v>
      </c>
      <c r="C220" s="22">
        <v>5</v>
      </c>
      <c r="D220" s="22">
        <v>48</v>
      </c>
      <c r="E220" s="22">
        <v>11</v>
      </c>
    </row>
    <row r="221" spans="1:5" x14ac:dyDescent="0.3">
      <c r="A221" s="22" t="s">
        <v>697</v>
      </c>
      <c r="B221" s="22">
        <v>2026</v>
      </c>
      <c r="C221" s="22">
        <v>2</v>
      </c>
      <c r="D221" s="22">
        <v>46</v>
      </c>
      <c r="E221" s="22">
        <v>7</v>
      </c>
    </row>
    <row r="222" spans="1:5" x14ac:dyDescent="0.3">
      <c r="A222" s="22" t="s">
        <v>699</v>
      </c>
      <c r="B222" s="22">
        <v>2026</v>
      </c>
      <c r="C222" s="22">
        <v>5</v>
      </c>
      <c r="D222" s="22">
        <v>59</v>
      </c>
      <c r="E222" s="22">
        <v>3</v>
      </c>
    </row>
    <row r="223" spans="1:5" x14ac:dyDescent="0.3">
      <c r="A223" s="22" t="s">
        <v>701</v>
      </c>
      <c r="B223" s="22">
        <v>2026</v>
      </c>
      <c r="C223" s="22">
        <v>5</v>
      </c>
      <c r="D223" s="22">
        <v>0</v>
      </c>
      <c r="E223" s="22">
        <v>3</v>
      </c>
    </row>
    <row r="224" spans="1:5" x14ac:dyDescent="0.3">
      <c r="A224" s="22" t="s">
        <v>704</v>
      </c>
      <c r="B224" s="22">
        <v>2026</v>
      </c>
      <c r="C224" s="22">
        <v>5</v>
      </c>
      <c r="D224" s="22">
        <v>40</v>
      </c>
      <c r="E224" s="22">
        <v>2</v>
      </c>
    </row>
    <row r="225" spans="1:5" x14ac:dyDescent="0.3">
      <c r="A225" s="22" t="s">
        <v>707</v>
      </c>
      <c r="B225" s="22">
        <v>2026</v>
      </c>
      <c r="C225" s="22">
        <v>1</v>
      </c>
      <c r="D225" s="22">
        <v>54</v>
      </c>
      <c r="E225" s="22">
        <v>6</v>
      </c>
    </row>
    <row r="226" spans="1:5" x14ac:dyDescent="0.3">
      <c r="A226" s="22" t="s">
        <v>710</v>
      </c>
      <c r="B226" s="22">
        <v>2026</v>
      </c>
      <c r="C226" s="22">
        <v>5</v>
      </c>
      <c r="D226" s="22">
        <v>51</v>
      </c>
      <c r="E226" s="22">
        <v>3</v>
      </c>
    </row>
    <row r="227" spans="1:5" x14ac:dyDescent="0.3">
      <c r="A227" s="22" t="s">
        <v>713</v>
      </c>
      <c r="B227" s="22">
        <v>2026</v>
      </c>
      <c r="C227" s="22">
        <v>2</v>
      </c>
      <c r="D227" s="22">
        <v>60</v>
      </c>
      <c r="E227" s="22">
        <v>2</v>
      </c>
    </row>
    <row r="228" spans="1:5" x14ac:dyDescent="0.3">
      <c r="A228" s="22" t="s">
        <v>716</v>
      </c>
      <c r="B228" s="22">
        <v>2026</v>
      </c>
      <c r="C228" s="22">
        <v>4</v>
      </c>
      <c r="D228" s="22">
        <v>8</v>
      </c>
      <c r="E228" s="22">
        <v>0</v>
      </c>
    </row>
    <row r="229" spans="1:5" x14ac:dyDescent="0.3">
      <c r="A229" s="22" t="s">
        <v>719</v>
      </c>
      <c r="B229" s="22">
        <v>2026</v>
      </c>
      <c r="C229" s="22">
        <v>5</v>
      </c>
      <c r="D229" s="22">
        <v>32</v>
      </c>
      <c r="E229" s="22">
        <v>0</v>
      </c>
    </row>
    <row r="230" spans="1:5" x14ac:dyDescent="0.3">
      <c r="A230" s="22" t="s">
        <v>722</v>
      </c>
      <c r="B230" s="22">
        <v>2026</v>
      </c>
      <c r="C230" s="22">
        <v>4</v>
      </c>
      <c r="D230" s="22">
        <v>1</v>
      </c>
      <c r="E230" s="22">
        <v>2</v>
      </c>
    </row>
    <row r="231" spans="1:5" x14ac:dyDescent="0.3">
      <c r="A231" s="22" t="s">
        <v>725</v>
      </c>
      <c r="B231" s="22">
        <v>2026</v>
      </c>
      <c r="C231" s="22">
        <v>5</v>
      </c>
      <c r="D231" s="22">
        <v>46</v>
      </c>
      <c r="E231" s="22">
        <v>8</v>
      </c>
    </row>
    <row r="232" spans="1:5" x14ac:dyDescent="0.3">
      <c r="A232" s="22" t="s">
        <v>728</v>
      </c>
      <c r="B232" s="22">
        <v>2026</v>
      </c>
      <c r="C232" s="22">
        <v>2</v>
      </c>
      <c r="D232" s="22">
        <v>60</v>
      </c>
      <c r="E232" s="22">
        <v>3</v>
      </c>
    </row>
    <row r="233" spans="1:5" x14ac:dyDescent="0.3">
      <c r="A233" s="22" t="s">
        <v>731</v>
      </c>
      <c r="B233" s="22">
        <v>2026</v>
      </c>
      <c r="C233" s="22">
        <v>2</v>
      </c>
      <c r="D233" s="22">
        <v>28</v>
      </c>
      <c r="E233" s="22">
        <v>0</v>
      </c>
    </row>
    <row r="234" spans="1:5" x14ac:dyDescent="0.3">
      <c r="A234" s="22" t="s">
        <v>734</v>
      </c>
      <c r="B234" s="22">
        <v>2026</v>
      </c>
      <c r="C234" s="22">
        <v>2</v>
      </c>
      <c r="D234" s="22">
        <v>18</v>
      </c>
      <c r="E234" s="22">
        <v>9</v>
      </c>
    </row>
    <row r="235" spans="1:5" x14ac:dyDescent="0.3">
      <c r="A235" s="22" t="s">
        <v>737</v>
      </c>
      <c r="B235" s="22">
        <v>2026</v>
      </c>
      <c r="C235" s="22">
        <v>4</v>
      </c>
      <c r="D235" s="22">
        <v>11</v>
      </c>
      <c r="E235" s="22">
        <v>10</v>
      </c>
    </row>
    <row r="236" spans="1:5" x14ac:dyDescent="0.3">
      <c r="A236" s="22" t="s">
        <v>740</v>
      </c>
      <c r="B236" s="22">
        <v>2026</v>
      </c>
      <c r="C236" s="22">
        <v>5</v>
      </c>
      <c r="D236" s="22">
        <v>55</v>
      </c>
      <c r="E236" s="22">
        <v>0</v>
      </c>
    </row>
    <row r="237" spans="1:5" x14ac:dyDescent="0.3">
      <c r="A237" s="22" t="s">
        <v>743</v>
      </c>
      <c r="B237" s="22">
        <v>2026</v>
      </c>
      <c r="C237" s="22">
        <v>4</v>
      </c>
      <c r="D237" s="22">
        <v>26</v>
      </c>
      <c r="E237" s="22">
        <v>11</v>
      </c>
    </row>
    <row r="238" spans="1:5" x14ac:dyDescent="0.3">
      <c r="A238" s="22" t="s">
        <v>746</v>
      </c>
      <c r="B238" s="22">
        <v>2026</v>
      </c>
      <c r="C238" s="22">
        <v>4</v>
      </c>
      <c r="D238" s="22">
        <v>9</v>
      </c>
      <c r="E238" s="22">
        <v>2</v>
      </c>
    </row>
    <row r="239" spans="1:5" x14ac:dyDescent="0.3">
      <c r="A239" s="22" t="s">
        <v>749</v>
      </c>
      <c r="B239" s="22">
        <v>2026</v>
      </c>
      <c r="C239" s="22">
        <v>4</v>
      </c>
      <c r="D239" s="22">
        <v>53</v>
      </c>
      <c r="E239" s="22">
        <v>12</v>
      </c>
    </row>
    <row r="240" spans="1:5" x14ac:dyDescent="0.3">
      <c r="A240" s="22" t="s">
        <v>752</v>
      </c>
      <c r="B240" s="22">
        <v>2026</v>
      </c>
      <c r="C240" s="22">
        <v>2</v>
      </c>
      <c r="D240" s="22">
        <v>10</v>
      </c>
      <c r="E240" s="22">
        <v>4</v>
      </c>
    </row>
    <row r="241" spans="1:5" x14ac:dyDescent="0.3">
      <c r="A241" s="22" t="s">
        <v>755</v>
      </c>
      <c r="B241" s="22">
        <v>2026</v>
      </c>
      <c r="C241" s="22">
        <v>2</v>
      </c>
      <c r="D241" s="22">
        <v>9</v>
      </c>
      <c r="E241" s="22">
        <v>7</v>
      </c>
    </row>
    <row r="242" spans="1:5" x14ac:dyDescent="0.3">
      <c r="A242" s="22" t="s">
        <v>758</v>
      </c>
      <c r="B242" s="22">
        <v>2026</v>
      </c>
      <c r="C242" s="22">
        <v>2</v>
      </c>
      <c r="D242" s="22">
        <v>26</v>
      </c>
      <c r="E242" s="22">
        <v>1</v>
      </c>
    </row>
    <row r="243" spans="1:5" x14ac:dyDescent="0.3">
      <c r="A243" s="22" t="s">
        <v>761</v>
      </c>
      <c r="B243" s="22">
        <v>2026</v>
      </c>
      <c r="C243" s="22">
        <v>2</v>
      </c>
      <c r="D243" s="22">
        <v>6</v>
      </c>
      <c r="E243" s="22">
        <v>9</v>
      </c>
    </row>
    <row r="244" spans="1:5" x14ac:dyDescent="0.3">
      <c r="A244" s="22" t="s">
        <v>764</v>
      </c>
      <c r="B244" s="22">
        <v>2026</v>
      </c>
      <c r="C244" s="22">
        <v>1</v>
      </c>
      <c r="D244" s="22">
        <v>8</v>
      </c>
      <c r="E244" s="22">
        <v>3</v>
      </c>
    </row>
    <row r="245" spans="1:5" x14ac:dyDescent="0.3">
      <c r="A245" s="22" t="s">
        <v>767</v>
      </c>
      <c r="B245" s="22">
        <v>2026</v>
      </c>
      <c r="C245" s="22">
        <v>4</v>
      </c>
      <c r="D245" s="22">
        <v>50</v>
      </c>
      <c r="E245" s="22">
        <v>0</v>
      </c>
    </row>
    <row r="246" spans="1:5" x14ac:dyDescent="0.3">
      <c r="A246" s="22" t="s">
        <v>769</v>
      </c>
      <c r="B246" s="22">
        <v>2026</v>
      </c>
      <c r="C246" s="22">
        <v>1</v>
      </c>
      <c r="D246" s="22">
        <v>21</v>
      </c>
      <c r="E246" s="22">
        <v>3</v>
      </c>
    </row>
    <row r="247" spans="1:5" x14ac:dyDescent="0.3">
      <c r="A247" s="22" t="s">
        <v>771</v>
      </c>
      <c r="B247" s="22">
        <v>2026</v>
      </c>
      <c r="C247" s="22">
        <v>4</v>
      </c>
      <c r="D247" s="22">
        <v>13</v>
      </c>
      <c r="E247" s="22">
        <v>2</v>
      </c>
    </row>
    <row r="248" spans="1:5" x14ac:dyDescent="0.3">
      <c r="A248" s="22" t="s">
        <v>774</v>
      </c>
      <c r="B248" s="22">
        <v>2026</v>
      </c>
      <c r="C248" s="22">
        <v>3</v>
      </c>
      <c r="D248" s="22">
        <v>41</v>
      </c>
      <c r="E248" s="22">
        <v>12</v>
      </c>
    </row>
    <row r="249" spans="1:5" x14ac:dyDescent="0.3">
      <c r="A249" s="22" t="s">
        <v>777</v>
      </c>
      <c r="B249" s="22">
        <v>2026</v>
      </c>
      <c r="C249" s="22">
        <v>5</v>
      </c>
      <c r="D249" s="22">
        <v>58</v>
      </c>
      <c r="E249" s="22">
        <v>0</v>
      </c>
    </row>
    <row r="250" spans="1:5" x14ac:dyDescent="0.3">
      <c r="A250" s="22" t="s">
        <v>780</v>
      </c>
      <c r="B250" s="22">
        <v>2026</v>
      </c>
      <c r="C250" s="22">
        <v>5</v>
      </c>
      <c r="D250" s="22">
        <v>34</v>
      </c>
      <c r="E250" s="22">
        <v>6</v>
      </c>
    </row>
    <row r="251" spans="1:5" x14ac:dyDescent="0.3">
      <c r="A251" s="22" t="s">
        <v>782</v>
      </c>
      <c r="B251" s="22">
        <v>2026</v>
      </c>
      <c r="C251" s="22">
        <v>5</v>
      </c>
      <c r="D251" s="22">
        <v>11</v>
      </c>
      <c r="E251" s="22">
        <v>6</v>
      </c>
    </row>
    <row r="252" spans="1:5" x14ac:dyDescent="0.3">
      <c r="A252" s="22" t="s">
        <v>785</v>
      </c>
      <c r="B252" s="22">
        <v>2026</v>
      </c>
      <c r="C252" s="22">
        <v>4</v>
      </c>
      <c r="D252" s="22">
        <v>29</v>
      </c>
      <c r="E252" s="22">
        <v>3</v>
      </c>
    </row>
    <row r="253" spans="1:5" x14ac:dyDescent="0.3">
      <c r="A253" s="22" t="s">
        <v>788</v>
      </c>
      <c r="B253" s="22">
        <v>2026</v>
      </c>
      <c r="C253" s="22">
        <v>3</v>
      </c>
      <c r="D253" s="22">
        <v>20</v>
      </c>
      <c r="E253" s="22">
        <v>4</v>
      </c>
    </row>
    <row r="254" spans="1:5" x14ac:dyDescent="0.3">
      <c r="A254" s="22" t="s">
        <v>790</v>
      </c>
      <c r="B254" s="22">
        <v>2026</v>
      </c>
      <c r="C254" s="22">
        <v>1</v>
      </c>
      <c r="D254" s="22">
        <v>32</v>
      </c>
      <c r="E254" s="22">
        <v>5</v>
      </c>
    </row>
    <row r="255" spans="1:5" x14ac:dyDescent="0.3">
      <c r="A255" s="22" t="s">
        <v>793</v>
      </c>
      <c r="B255" s="22">
        <v>2026</v>
      </c>
      <c r="C255" s="22">
        <v>5</v>
      </c>
      <c r="D255" s="22">
        <v>2</v>
      </c>
      <c r="E255" s="22">
        <v>11</v>
      </c>
    </row>
    <row r="256" spans="1:5" x14ac:dyDescent="0.3">
      <c r="A256" s="22" t="s">
        <v>796</v>
      </c>
      <c r="B256" s="22">
        <v>2026</v>
      </c>
      <c r="C256" s="22">
        <v>1</v>
      </c>
      <c r="D256" s="22">
        <v>50</v>
      </c>
      <c r="E256" s="22">
        <v>7</v>
      </c>
    </row>
    <row r="257" spans="1:5" x14ac:dyDescent="0.3">
      <c r="A257" s="22" t="s">
        <v>799</v>
      </c>
      <c r="B257" s="22">
        <v>2026</v>
      </c>
      <c r="C257" s="22">
        <v>4</v>
      </c>
      <c r="D257" s="22">
        <v>43</v>
      </c>
      <c r="E257" s="22">
        <v>6</v>
      </c>
    </row>
    <row r="258" spans="1:5" x14ac:dyDescent="0.3">
      <c r="A258" s="22" t="s">
        <v>802</v>
      </c>
      <c r="B258" s="22">
        <v>2026</v>
      </c>
      <c r="C258" s="22">
        <v>3</v>
      </c>
      <c r="D258" s="22">
        <v>55</v>
      </c>
      <c r="E258" s="22">
        <v>5</v>
      </c>
    </row>
    <row r="259" spans="1:5" x14ac:dyDescent="0.3">
      <c r="A259" s="22" t="s">
        <v>805</v>
      </c>
      <c r="B259" s="22">
        <v>2026</v>
      </c>
      <c r="C259" s="22">
        <v>2</v>
      </c>
      <c r="D259" s="22">
        <v>56</v>
      </c>
      <c r="E259" s="22">
        <v>9</v>
      </c>
    </row>
    <row r="260" spans="1:5" x14ac:dyDescent="0.3">
      <c r="A260" s="22" t="s">
        <v>808</v>
      </c>
      <c r="B260" s="22">
        <v>2026</v>
      </c>
      <c r="C260" s="22">
        <v>1</v>
      </c>
      <c r="D260" s="22">
        <v>2</v>
      </c>
      <c r="E260" s="22">
        <v>4</v>
      </c>
    </row>
    <row r="261" spans="1:5" x14ac:dyDescent="0.3">
      <c r="A261" s="22" t="s">
        <v>811</v>
      </c>
      <c r="B261" s="22">
        <v>2026</v>
      </c>
      <c r="C261" s="22">
        <v>3</v>
      </c>
      <c r="D261" s="22">
        <v>12</v>
      </c>
      <c r="E261" s="22">
        <v>12</v>
      </c>
    </row>
    <row r="262" spans="1:5" x14ac:dyDescent="0.3">
      <c r="A262" s="22" t="s">
        <v>813</v>
      </c>
      <c r="B262" s="22">
        <v>2026</v>
      </c>
      <c r="C262" s="22">
        <v>4</v>
      </c>
      <c r="D262" s="22">
        <v>38</v>
      </c>
      <c r="E262" s="22">
        <v>3</v>
      </c>
    </row>
    <row r="263" spans="1:5" x14ac:dyDescent="0.3">
      <c r="A263" s="22" t="s">
        <v>816</v>
      </c>
      <c r="B263" s="22">
        <v>2026</v>
      </c>
      <c r="C263" s="22">
        <v>2</v>
      </c>
      <c r="D263" s="22">
        <v>29</v>
      </c>
      <c r="E263" s="22">
        <v>3</v>
      </c>
    </row>
    <row r="264" spans="1:5" x14ac:dyDescent="0.3">
      <c r="A264" s="22" t="s">
        <v>818</v>
      </c>
      <c r="B264" s="22">
        <v>2026</v>
      </c>
      <c r="C264" s="22">
        <v>5</v>
      </c>
      <c r="D264" s="22">
        <v>45</v>
      </c>
      <c r="E264" s="22">
        <v>3</v>
      </c>
    </row>
    <row r="265" spans="1:5" x14ac:dyDescent="0.3">
      <c r="A265" s="22" t="s">
        <v>821</v>
      </c>
      <c r="B265" s="22">
        <v>2026</v>
      </c>
      <c r="C265" s="22">
        <v>2</v>
      </c>
      <c r="D265" s="22">
        <v>57</v>
      </c>
      <c r="E265" s="22">
        <v>0</v>
      </c>
    </row>
    <row r="266" spans="1:5" x14ac:dyDescent="0.3">
      <c r="A266" s="22" t="s">
        <v>824</v>
      </c>
      <c r="B266" s="22">
        <v>2026</v>
      </c>
      <c r="C266" s="22">
        <v>2</v>
      </c>
      <c r="D266" s="22">
        <v>47</v>
      </c>
      <c r="E266" s="22">
        <v>6</v>
      </c>
    </row>
    <row r="267" spans="1:5" x14ac:dyDescent="0.3">
      <c r="A267" s="22" t="s">
        <v>827</v>
      </c>
      <c r="B267" s="22">
        <v>2026</v>
      </c>
      <c r="C267" s="22">
        <v>4</v>
      </c>
      <c r="D267" s="22">
        <v>52</v>
      </c>
      <c r="E267" s="22">
        <v>4</v>
      </c>
    </row>
    <row r="268" spans="1:5" x14ac:dyDescent="0.3">
      <c r="A268" s="22" t="s">
        <v>830</v>
      </c>
      <c r="B268" s="22">
        <v>2026</v>
      </c>
      <c r="C268" s="22">
        <v>4</v>
      </c>
      <c r="D268" s="22">
        <v>47</v>
      </c>
      <c r="E268" s="22">
        <v>0</v>
      </c>
    </row>
    <row r="269" spans="1:5" x14ac:dyDescent="0.3">
      <c r="A269" s="22" t="s">
        <v>833</v>
      </c>
      <c r="B269" s="22">
        <v>2026</v>
      </c>
      <c r="C269" s="22">
        <v>2</v>
      </c>
      <c r="D269" s="22">
        <v>23</v>
      </c>
      <c r="E269" s="22">
        <v>11</v>
      </c>
    </row>
    <row r="270" spans="1:5" x14ac:dyDescent="0.3">
      <c r="A270" s="22" t="s">
        <v>836</v>
      </c>
      <c r="B270" s="22">
        <v>2026</v>
      </c>
      <c r="C270" s="22">
        <v>1</v>
      </c>
      <c r="D270" s="22">
        <v>40</v>
      </c>
      <c r="E270" s="22">
        <v>6</v>
      </c>
    </row>
    <row r="271" spans="1:5" x14ac:dyDescent="0.3">
      <c r="A271" s="22" t="s">
        <v>839</v>
      </c>
      <c r="B271" s="22">
        <v>2026</v>
      </c>
      <c r="C271" s="22">
        <v>4</v>
      </c>
      <c r="D271" s="22">
        <v>19</v>
      </c>
      <c r="E271" s="22">
        <v>6</v>
      </c>
    </row>
    <row r="272" spans="1:5" x14ac:dyDescent="0.3">
      <c r="A272" s="22" t="s">
        <v>842</v>
      </c>
      <c r="B272" s="22">
        <v>2026</v>
      </c>
      <c r="C272" s="22">
        <v>5</v>
      </c>
      <c r="D272" s="22">
        <v>25</v>
      </c>
      <c r="E272" s="22">
        <v>6</v>
      </c>
    </row>
    <row r="273" spans="1:5" x14ac:dyDescent="0.3">
      <c r="A273" s="22" t="s">
        <v>845</v>
      </c>
      <c r="B273" s="22">
        <v>2026</v>
      </c>
      <c r="C273" s="22">
        <v>4</v>
      </c>
      <c r="D273" s="22">
        <v>5</v>
      </c>
      <c r="E273" s="22">
        <v>6</v>
      </c>
    </row>
    <row r="274" spans="1:5" x14ac:dyDescent="0.3">
      <c r="A274" s="22" t="s">
        <v>848</v>
      </c>
      <c r="B274" s="22">
        <v>2026</v>
      </c>
      <c r="C274" s="22">
        <v>2</v>
      </c>
      <c r="D274" s="22">
        <v>53</v>
      </c>
      <c r="E274" s="22">
        <v>11</v>
      </c>
    </row>
    <row r="275" spans="1:5" x14ac:dyDescent="0.3">
      <c r="A275" s="22" t="s">
        <v>851</v>
      </c>
      <c r="B275" s="22">
        <v>2026</v>
      </c>
      <c r="C275" s="22">
        <v>4</v>
      </c>
      <c r="D275" s="22">
        <v>6</v>
      </c>
      <c r="E275" s="22">
        <v>0</v>
      </c>
    </row>
    <row r="276" spans="1:5" x14ac:dyDescent="0.3">
      <c r="A276" s="22" t="s">
        <v>854</v>
      </c>
      <c r="B276" s="22">
        <v>2026</v>
      </c>
      <c r="C276" s="22">
        <v>4</v>
      </c>
      <c r="D276" s="22">
        <v>6</v>
      </c>
      <c r="E276" s="22">
        <v>4</v>
      </c>
    </row>
    <row r="277" spans="1:5" x14ac:dyDescent="0.3">
      <c r="A277" s="22" t="s">
        <v>857</v>
      </c>
      <c r="B277" s="22">
        <v>2026</v>
      </c>
      <c r="C277" s="22">
        <v>2</v>
      </c>
      <c r="D277" s="22">
        <v>8</v>
      </c>
      <c r="E277" s="22">
        <v>5</v>
      </c>
    </row>
    <row r="278" spans="1:5" x14ac:dyDescent="0.3">
      <c r="A278" s="22" t="s">
        <v>860</v>
      </c>
      <c r="B278" s="22">
        <v>2026</v>
      </c>
      <c r="C278" s="22">
        <v>2</v>
      </c>
      <c r="D278" s="22">
        <v>51</v>
      </c>
      <c r="E278" s="22">
        <v>7</v>
      </c>
    </row>
    <row r="279" spans="1:5" x14ac:dyDescent="0.3">
      <c r="A279" s="22" t="s">
        <v>863</v>
      </c>
      <c r="B279" s="22">
        <v>2026</v>
      </c>
      <c r="C279" s="22">
        <v>2</v>
      </c>
      <c r="D279" s="22">
        <v>33</v>
      </c>
      <c r="E279" s="22">
        <v>0</v>
      </c>
    </row>
    <row r="280" spans="1:5" x14ac:dyDescent="0.3">
      <c r="A280" s="22" t="s">
        <v>866</v>
      </c>
      <c r="B280" s="22">
        <v>2026</v>
      </c>
      <c r="C280" s="22">
        <v>2</v>
      </c>
      <c r="D280" s="22">
        <v>31</v>
      </c>
      <c r="E280" s="22">
        <v>3</v>
      </c>
    </row>
    <row r="281" spans="1:5" x14ac:dyDescent="0.3">
      <c r="A281" s="22" t="s">
        <v>869</v>
      </c>
      <c r="B281" s="22">
        <v>2026</v>
      </c>
      <c r="C281" s="22">
        <v>1</v>
      </c>
      <c r="D281" s="22">
        <v>13</v>
      </c>
      <c r="E281" s="22">
        <v>0</v>
      </c>
    </row>
    <row r="282" spans="1:5" x14ac:dyDescent="0.3">
      <c r="A282" s="22" t="s">
        <v>872</v>
      </c>
      <c r="B282" s="22">
        <v>2026</v>
      </c>
      <c r="C282" s="22">
        <v>1</v>
      </c>
      <c r="D282" s="22">
        <v>47</v>
      </c>
      <c r="E282" s="22">
        <v>4</v>
      </c>
    </row>
    <row r="283" spans="1:5" x14ac:dyDescent="0.3">
      <c r="A283" s="22" t="s">
        <v>875</v>
      </c>
      <c r="B283" s="22">
        <v>2026</v>
      </c>
      <c r="C283" s="22">
        <v>1</v>
      </c>
      <c r="D283" s="22">
        <v>17</v>
      </c>
      <c r="E283" s="22">
        <v>11</v>
      </c>
    </row>
    <row r="284" spans="1:5" x14ac:dyDescent="0.3">
      <c r="A284" s="22" t="s">
        <v>878</v>
      </c>
      <c r="B284" s="22">
        <v>2026</v>
      </c>
      <c r="C284" s="22">
        <v>5</v>
      </c>
      <c r="D284" s="22">
        <v>1</v>
      </c>
      <c r="E284" s="22">
        <v>8</v>
      </c>
    </row>
    <row r="285" spans="1:5" x14ac:dyDescent="0.3">
      <c r="A285" s="22" t="s">
        <v>881</v>
      </c>
      <c r="B285" s="22">
        <v>2026</v>
      </c>
      <c r="C285" s="22">
        <v>2</v>
      </c>
      <c r="D285" s="22">
        <v>58</v>
      </c>
      <c r="E285" s="22">
        <v>6</v>
      </c>
    </row>
    <row r="286" spans="1:5" x14ac:dyDescent="0.3">
      <c r="A286" s="22" t="s">
        <v>883</v>
      </c>
      <c r="B286" s="22">
        <v>2026</v>
      </c>
      <c r="C286" s="22">
        <v>3</v>
      </c>
      <c r="D286" s="22">
        <v>37</v>
      </c>
      <c r="E286" s="22">
        <v>3</v>
      </c>
    </row>
    <row r="287" spans="1:5" x14ac:dyDescent="0.3">
      <c r="A287" s="22" t="s">
        <v>886</v>
      </c>
      <c r="B287" s="22">
        <v>2026</v>
      </c>
      <c r="C287" s="22">
        <v>3</v>
      </c>
      <c r="D287" s="22">
        <v>14</v>
      </c>
      <c r="E287" s="22">
        <v>2</v>
      </c>
    </row>
    <row r="288" spans="1:5" x14ac:dyDescent="0.3">
      <c r="A288" s="22" t="s">
        <v>889</v>
      </c>
      <c r="B288" s="22">
        <v>2026</v>
      </c>
      <c r="C288" s="22">
        <v>1</v>
      </c>
      <c r="D288" s="22">
        <v>22</v>
      </c>
      <c r="E288" s="22">
        <v>10</v>
      </c>
    </row>
    <row r="289" spans="1:5" x14ac:dyDescent="0.3">
      <c r="A289" s="22" t="s">
        <v>892</v>
      </c>
      <c r="B289" s="22">
        <v>2026</v>
      </c>
      <c r="C289" s="22">
        <v>4</v>
      </c>
      <c r="D289" s="22">
        <v>30</v>
      </c>
      <c r="E289" s="22">
        <v>10</v>
      </c>
    </row>
    <row r="290" spans="1:5" x14ac:dyDescent="0.3">
      <c r="A290" s="22" t="s">
        <v>895</v>
      </c>
      <c r="B290" s="22">
        <v>2026</v>
      </c>
      <c r="C290" s="22">
        <v>1</v>
      </c>
      <c r="D290" s="22">
        <v>44</v>
      </c>
      <c r="E290" s="22">
        <v>11</v>
      </c>
    </row>
    <row r="291" spans="1:5" x14ac:dyDescent="0.3">
      <c r="A291" s="22" t="s">
        <v>898</v>
      </c>
      <c r="B291" s="22">
        <v>2026</v>
      </c>
      <c r="C291" s="22">
        <v>5</v>
      </c>
      <c r="D291" s="22">
        <v>48</v>
      </c>
      <c r="E291" s="22">
        <v>12</v>
      </c>
    </row>
    <row r="292" spans="1:5" x14ac:dyDescent="0.3">
      <c r="A292" s="22" t="s">
        <v>901</v>
      </c>
      <c r="B292" s="22">
        <v>2026</v>
      </c>
      <c r="C292" s="22">
        <v>3</v>
      </c>
      <c r="D292" s="22">
        <v>39</v>
      </c>
      <c r="E292" s="22">
        <v>9</v>
      </c>
    </row>
    <row r="293" spans="1:5" x14ac:dyDescent="0.3">
      <c r="A293" s="22" t="s">
        <v>904</v>
      </c>
      <c r="B293" s="22">
        <v>2026</v>
      </c>
      <c r="C293" s="22">
        <v>3</v>
      </c>
      <c r="D293" s="22">
        <v>28</v>
      </c>
      <c r="E293" s="22">
        <v>8</v>
      </c>
    </row>
    <row r="294" spans="1:5" x14ac:dyDescent="0.3">
      <c r="A294" s="22" t="s">
        <v>907</v>
      </c>
      <c r="B294" s="22">
        <v>2026</v>
      </c>
      <c r="C294" s="22">
        <v>5</v>
      </c>
      <c r="D294" s="22">
        <v>2</v>
      </c>
      <c r="E294" s="22">
        <v>1</v>
      </c>
    </row>
    <row r="295" spans="1:5" x14ac:dyDescent="0.3">
      <c r="A295" s="22" t="s">
        <v>910</v>
      </c>
      <c r="B295" s="22">
        <v>2026</v>
      </c>
      <c r="C295" s="22">
        <v>3</v>
      </c>
      <c r="D295" s="22">
        <v>24</v>
      </c>
      <c r="E295" s="22">
        <v>5</v>
      </c>
    </row>
    <row r="296" spans="1:5" x14ac:dyDescent="0.3">
      <c r="A296" s="22" t="s">
        <v>913</v>
      </c>
      <c r="B296" s="22">
        <v>2026</v>
      </c>
      <c r="C296" s="22">
        <v>3</v>
      </c>
      <c r="D296" s="22">
        <v>4</v>
      </c>
      <c r="E296" s="22">
        <v>8</v>
      </c>
    </row>
    <row r="297" spans="1:5" x14ac:dyDescent="0.3">
      <c r="A297" s="22" t="s">
        <v>916</v>
      </c>
      <c r="B297" s="22">
        <v>2026</v>
      </c>
      <c r="C297" s="22">
        <v>3</v>
      </c>
      <c r="D297" s="22">
        <v>29</v>
      </c>
      <c r="E297" s="22">
        <v>0</v>
      </c>
    </row>
    <row r="298" spans="1:5" x14ac:dyDescent="0.3">
      <c r="A298" s="22" t="s">
        <v>919</v>
      </c>
      <c r="B298" s="22">
        <v>2026</v>
      </c>
      <c r="C298" s="22">
        <v>3</v>
      </c>
      <c r="D298" s="22">
        <v>41</v>
      </c>
      <c r="E298" s="22">
        <v>6</v>
      </c>
    </row>
    <row r="299" spans="1:5" x14ac:dyDescent="0.3">
      <c r="A299" s="22" t="s">
        <v>922</v>
      </c>
      <c r="B299" s="22">
        <v>2026</v>
      </c>
      <c r="C299" s="22">
        <v>3</v>
      </c>
      <c r="D299" s="22">
        <v>21</v>
      </c>
      <c r="E299" s="22">
        <v>10</v>
      </c>
    </row>
    <row r="300" spans="1:5" x14ac:dyDescent="0.3">
      <c r="A300" s="22" t="s">
        <v>925</v>
      </c>
      <c r="B300" s="22">
        <v>2026</v>
      </c>
      <c r="C300" s="22">
        <v>5</v>
      </c>
      <c r="D300" s="22">
        <v>31</v>
      </c>
      <c r="E300" s="22">
        <v>0</v>
      </c>
    </row>
    <row r="301" spans="1:5" x14ac:dyDescent="0.3">
      <c r="A301" s="22" t="s">
        <v>928</v>
      </c>
      <c r="B301" s="22">
        <v>2026</v>
      </c>
      <c r="C301" s="22">
        <v>1</v>
      </c>
      <c r="D301" s="22">
        <v>48</v>
      </c>
      <c r="E301" s="22">
        <v>8</v>
      </c>
    </row>
    <row r="302" spans="1:5" x14ac:dyDescent="0.3">
      <c r="A302" s="22" t="s">
        <v>931</v>
      </c>
      <c r="B302" s="22">
        <v>2026</v>
      </c>
      <c r="C302" s="22">
        <v>4</v>
      </c>
      <c r="D302" s="22">
        <v>28</v>
      </c>
      <c r="E302" s="22">
        <v>6</v>
      </c>
    </row>
    <row r="303" spans="1:5" x14ac:dyDescent="0.3">
      <c r="A303" s="22" t="s">
        <v>934</v>
      </c>
      <c r="B303" s="22">
        <v>2026</v>
      </c>
      <c r="C303" s="22">
        <v>2</v>
      </c>
      <c r="D303" s="22">
        <v>9</v>
      </c>
      <c r="E303" s="22">
        <v>12</v>
      </c>
    </row>
    <row r="304" spans="1:5" x14ac:dyDescent="0.3">
      <c r="A304" s="22" t="s">
        <v>936</v>
      </c>
      <c r="B304" s="22">
        <v>2026</v>
      </c>
      <c r="C304" s="22">
        <v>1</v>
      </c>
      <c r="D304" s="22">
        <v>57</v>
      </c>
      <c r="E304" s="22">
        <v>0</v>
      </c>
    </row>
    <row r="305" spans="1:5" x14ac:dyDescent="0.3">
      <c r="A305" s="22" t="s">
        <v>939</v>
      </c>
      <c r="B305" s="22">
        <v>2026</v>
      </c>
      <c r="C305" s="22">
        <v>5</v>
      </c>
      <c r="D305" s="22">
        <v>27</v>
      </c>
      <c r="E305" s="22">
        <v>0</v>
      </c>
    </row>
    <row r="306" spans="1:5" x14ac:dyDescent="0.3">
      <c r="A306" s="22" t="s">
        <v>942</v>
      </c>
      <c r="B306" s="22">
        <v>2026</v>
      </c>
      <c r="C306" s="22">
        <v>2</v>
      </c>
      <c r="D306" s="22">
        <v>19</v>
      </c>
      <c r="E306" s="22">
        <v>2</v>
      </c>
    </row>
    <row r="307" spans="1:5" x14ac:dyDescent="0.3">
      <c r="A307" s="22" t="s">
        <v>945</v>
      </c>
      <c r="B307" s="22">
        <v>2026</v>
      </c>
      <c r="C307" s="22">
        <v>2</v>
      </c>
      <c r="D307" s="22">
        <v>23</v>
      </c>
      <c r="E307" s="22">
        <v>5</v>
      </c>
    </row>
    <row r="308" spans="1:5" x14ac:dyDescent="0.3">
      <c r="A308" s="22" t="s">
        <v>948</v>
      </c>
      <c r="B308" s="22">
        <v>2026</v>
      </c>
      <c r="C308" s="22">
        <v>2</v>
      </c>
      <c r="D308" s="22">
        <v>38</v>
      </c>
      <c r="E308" s="22">
        <v>11</v>
      </c>
    </row>
    <row r="309" spans="1:5" x14ac:dyDescent="0.3">
      <c r="A309" s="22" t="s">
        <v>951</v>
      </c>
      <c r="B309" s="22">
        <v>2026</v>
      </c>
      <c r="C309" s="22">
        <v>3</v>
      </c>
      <c r="D309" s="22">
        <v>17</v>
      </c>
      <c r="E309" s="22">
        <v>8</v>
      </c>
    </row>
    <row r="310" spans="1:5" x14ac:dyDescent="0.3">
      <c r="A310" s="22" t="s">
        <v>954</v>
      </c>
      <c r="B310" s="22">
        <v>2026</v>
      </c>
      <c r="C310" s="22">
        <v>1</v>
      </c>
      <c r="D310" s="22">
        <v>26</v>
      </c>
      <c r="E310" s="22">
        <v>8</v>
      </c>
    </row>
    <row r="311" spans="1:5" x14ac:dyDescent="0.3">
      <c r="A311" s="22" t="s">
        <v>956</v>
      </c>
      <c r="B311" s="22">
        <v>2026</v>
      </c>
      <c r="C311" s="22">
        <v>3</v>
      </c>
      <c r="D311" s="22">
        <v>60</v>
      </c>
      <c r="E311" s="22">
        <v>12</v>
      </c>
    </row>
    <row r="312" spans="1:5" x14ac:dyDescent="0.3">
      <c r="A312" s="22" t="s">
        <v>959</v>
      </c>
      <c r="B312" s="22">
        <v>2026</v>
      </c>
      <c r="C312" s="22">
        <v>2</v>
      </c>
      <c r="D312" s="22">
        <v>44</v>
      </c>
      <c r="E312" s="22">
        <v>1</v>
      </c>
    </row>
    <row r="313" spans="1:5" x14ac:dyDescent="0.3">
      <c r="A313" s="22" t="s">
        <v>961</v>
      </c>
      <c r="B313" s="22">
        <v>2026</v>
      </c>
      <c r="C313" s="22">
        <v>4</v>
      </c>
      <c r="D313" s="22">
        <v>13</v>
      </c>
      <c r="E313" s="22">
        <v>5</v>
      </c>
    </row>
    <row r="314" spans="1:5" x14ac:dyDescent="0.3">
      <c r="A314" s="22" t="s">
        <v>964</v>
      </c>
      <c r="B314" s="22">
        <v>2026</v>
      </c>
      <c r="C314" s="22">
        <v>5</v>
      </c>
      <c r="D314" s="22">
        <v>50</v>
      </c>
      <c r="E314" s="22">
        <v>6</v>
      </c>
    </row>
    <row r="315" spans="1:5" x14ac:dyDescent="0.3">
      <c r="A315" s="22" t="s">
        <v>967</v>
      </c>
      <c r="B315" s="22">
        <v>2026</v>
      </c>
      <c r="C315" s="22">
        <v>3</v>
      </c>
      <c r="D315" s="22">
        <v>16</v>
      </c>
      <c r="E315" s="22">
        <v>5</v>
      </c>
    </row>
    <row r="316" spans="1:5" x14ac:dyDescent="0.3">
      <c r="A316" s="22" t="s">
        <v>970</v>
      </c>
      <c r="B316" s="22">
        <v>2026</v>
      </c>
      <c r="C316" s="22">
        <v>1</v>
      </c>
      <c r="D316" s="22">
        <v>28</v>
      </c>
      <c r="E316" s="22">
        <v>8</v>
      </c>
    </row>
    <row r="317" spans="1:5" x14ac:dyDescent="0.3">
      <c r="A317" s="22" t="s">
        <v>973</v>
      </c>
      <c r="B317" s="22">
        <v>2026</v>
      </c>
      <c r="C317" s="22">
        <v>5</v>
      </c>
      <c r="D317" s="22">
        <v>39</v>
      </c>
      <c r="E317" s="22">
        <v>7</v>
      </c>
    </row>
    <row r="318" spans="1:5" x14ac:dyDescent="0.3">
      <c r="A318" s="22" t="s">
        <v>976</v>
      </c>
      <c r="B318" s="22">
        <v>2026</v>
      </c>
      <c r="C318" s="22">
        <v>2</v>
      </c>
      <c r="D318" s="22">
        <v>40</v>
      </c>
      <c r="E318" s="22">
        <v>3</v>
      </c>
    </row>
    <row r="319" spans="1:5" x14ac:dyDescent="0.3">
      <c r="A319" s="22" t="s">
        <v>979</v>
      </c>
      <c r="B319" s="22">
        <v>2026</v>
      </c>
      <c r="C319" s="22">
        <v>2</v>
      </c>
      <c r="D319" s="22">
        <v>32</v>
      </c>
      <c r="E319" s="22">
        <v>5</v>
      </c>
    </row>
    <row r="320" spans="1:5" x14ac:dyDescent="0.3">
      <c r="A320" s="22" t="s">
        <v>982</v>
      </c>
      <c r="B320" s="22">
        <v>2026</v>
      </c>
      <c r="C320" s="22">
        <v>3</v>
      </c>
      <c r="D320" s="22">
        <v>39</v>
      </c>
      <c r="E320" s="22">
        <v>11</v>
      </c>
    </row>
    <row r="321" spans="1:5" x14ac:dyDescent="0.3">
      <c r="A321" s="22" t="s">
        <v>985</v>
      </c>
      <c r="B321" s="22">
        <v>2026</v>
      </c>
      <c r="C321" s="22">
        <v>2</v>
      </c>
      <c r="D321" s="22">
        <v>30</v>
      </c>
      <c r="E321" s="22">
        <v>12</v>
      </c>
    </row>
    <row r="322" spans="1:5" x14ac:dyDescent="0.3">
      <c r="A322" s="22" t="s">
        <v>987</v>
      </c>
      <c r="B322" s="22">
        <v>2026</v>
      </c>
      <c r="C322" s="22">
        <v>5</v>
      </c>
      <c r="D322" s="22">
        <v>54</v>
      </c>
      <c r="E322" s="22">
        <v>9</v>
      </c>
    </row>
    <row r="323" spans="1:5" x14ac:dyDescent="0.3">
      <c r="A323" s="22" t="s">
        <v>990</v>
      </c>
      <c r="B323" s="22">
        <v>2026</v>
      </c>
      <c r="C323" s="22">
        <v>3</v>
      </c>
      <c r="D323" s="22">
        <v>22</v>
      </c>
      <c r="E323" s="22">
        <v>5</v>
      </c>
    </row>
    <row r="324" spans="1:5" x14ac:dyDescent="0.3">
      <c r="A324" s="22" t="s">
        <v>993</v>
      </c>
      <c r="B324" s="22">
        <v>2026</v>
      </c>
      <c r="C324" s="22">
        <v>3</v>
      </c>
      <c r="D324" s="22">
        <v>20</v>
      </c>
      <c r="E324" s="22">
        <v>11</v>
      </c>
    </row>
    <row r="325" spans="1:5" x14ac:dyDescent="0.3">
      <c r="A325" s="22" t="s">
        <v>996</v>
      </c>
      <c r="B325" s="22">
        <v>2026</v>
      </c>
      <c r="C325" s="22">
        <v>4</v>
      </c>
      <c r="D325" s="22">
        <v>3</v>
      </c>
      <c r="E325" s="22">
        <v>4</v>
      </c>
    </row>
    <row r="326" spans="1:5" x14ac:dyDescent="0.3">
      <c r="A326" s="22" t="s">
        <v>999</v>
      </c>
      <c r="B326" s="22">
        <v>2026</v>
      </c>
      <c r="C326" s="22">
        <v>1</v>
      </c>
      <c r="D326" s="22">
        <v>15</v>
      </c>
      <c r="E326" s="22">
        <v>12</v>
      </c>
    </row>
    <row r="327" spans="1:5" x14ac:dyDescent="0.3">
      <c r="A327" s="22" t="s">
        <v>1002</v>
      </c>
      <c r="B327" s="22">
        <v>2026</v>
      </c>
      <c r="C327" s="22">
        <v>1</v>
      </c>
      <c r="D327" s="22">
        <v>52</v>
      </c>
      <c r="E327" s="22">
        <v>0</v>
      </c>
    </row>
    <row r="328" spans="1:5" x14ac:dyDescent="0.3">
      <c r="A328" s="22" t="s">
        <v>1005</v>
      </c>
      <c r="B328" s="22">
        <v>2026</v>
      </c>
      <c r="C328" s="22">
        <v>5</v>
      </c>
      <c r="D328" s="22">
        <v>47</v>
      </c>
      <c r="E328" s="22">
        <v>8</v>
      </c>
    </row>
    <row r="329" spans="1:5" x14ac:dyDescent="0.3">
      <c r="A329" s="22" t="s">
        <v>1008</v>
      </c>
      <c r="B329" s="22">
        <v>2026</v>
      </c>
      <c r="C329" s="22">
        <v>5</v>
      </c>
      <c r="D329" s="22">
        <v>40</v>
      </c>
      <c r="E329" s="22">
        <v>7</v>
      </c>
    </row>
    <row r="330" spans="1:5" x14ac:dyDescent="0.3">
      <c r="A330" s="22" t="s">
        <v>1011</v>
      </c>
      <c r="B330" s="22">
        <v>2026</v>
      </c>
      <c r="C330" s="22">
        <v>5</v>
      </c>
      <c r="D330" s="22">
        <v>53</v>
      </c>
      <c r="E330" s="22">
        <v>5</v>
      </c>
    </row>
    <row r="331" spans="1:5" x14ac:dyDescent="0.3">
      <c r="A331" s="22" t="s">
        <v>1014</v>
      </c>
      <c r="B331" s="22">
        <v>2026</v>
      </c>
      <c r="C331" s="22">
        <v>1</v>
      </c>
      <c r="D331" s="22">
        <v>49</v>
      </c>
      <c r="E331" s="22">
        <v>1</v>
      </c>
    </row>
    <row r="332" spans="1:5" x14ac:dyDescent="0.3">
      <c r="A332" s="22" t="s">
        <v>1017</v>
      </c>
      <c r="B332" s="22">
        <v>2026</v>
      </c>
      <c r="C332" s="22">
        <v>1</v>
      </c>
      <c r="D332" s="22">
        <v>48</v>
      </c>
      <c r="E332" s="22">
        <v>7</v>
      </c>
    </row>
    <row r="333" spans="1:5" x14ac:dyDescent="0.3">
      <c r="A333" s="22" t="s">
        <v>1020</v>
      </c>
      <c r="B333" s="22">
        <v>2026</v>
      </c>
      <c r="C333" s="22">
        <v>5</v>
      </c>
      <c r="D333" s="22">
        <v>48</v>
      </c>
      <c r="E333" s="22">
        <v>12</v>
      </c>
    </row>
    <row r="334" spans="1:5" x14ac:dyDescent="0.3">
      <c r="A334" s="22" t="s">
        <v>1022</v>
      </c>
      <c r="B334" s="22">
        <v>2026</v>
      </c>
      <c r="C334" s="22">
        <v>3</v>
      </c>
      <c r="D334" s="22">
        <v>59</v>
      </c>
      <c r="E334" s="22">
        <v>8</v>
      </c>
    </row>
    <row r="335" spans="1:5" x14ac:dyDescent="0.3">
      <c r="A335" s="22" t="s">
        <v>1025</v>
      </c>
      <c r="B335" s="22">
        <v>2026</v>
      </c>
      <c r="C335" s="22">
        <v>3</v>
      </c>
      <c r="D335" s="22">
        <v>50</v>
      </c>
      <c r="E335" s="22">
        <v>0</v>
      </c>
    </row>
    <row r="336" spans="1:5" x14ac:dyDescent="0.3">
      <c r="A336" s="22" t="s">
        <v>1028</v>
      </c>
      <c r="B336" s="22">
        <v>2026</v>
      </c>
      <c r="C336" s="22">
        <v>1</v>
      </c>
      <c r="D336" s="22">
        <v>51</v>
      </c>
      <c r="E336" s="22">
        <v>7</v>
      </c>
    </row>
    <row r="337" spans="1:5" x14ac:dyDescent="0.3">
      <c r="A337" s="22" t="s">
        <v>1031</v>
      </c>
      <c r="B337" s="22">
        <v>2026</v>
      </c>
      <c r="C337" s="22">
        <v>2</v>
      </c>
      <c r="D337" s="22">
        <v>57</v>
      </c>
      <c r="E337" s="22">
        <v>8</v>
      </c>
    </row>
    <row r="338" spans="1:5" x14ac:dyDescent="0.3">
      <c r="A338" s="22" t="s">
        <v>1034</v>
      </c>
      <c r="B338" s="22">
        <v>2026</v>
      </c>
      <c r="C338" s="22">
        <v>1</v>
      </c>
      <c r="D338" s="22">
        <v>2</v>
      </c>
      <c r="E338" s="22">
        <v>1</v>
      </c>
    </row>
    <row r="339" spans="1:5" x14ac:dyDescent="0.3">
      <c r="A339" s="22" t="s">
        <v>1037</v>
      </c>
      <c r="B339" s="22">
        <v>2026</v>
      </c>
      <c r="C339" s="22">
        <v>1</v>
      </c>
      <c r="D339" s="22">
        <v>49</v>
      </c>
      <c r="E339" s="22">
        <v>0</v>
      </c>
    </row>
    <row r="340" spans="1:5" x14ac:dyDescent="0.3">
      <c r="A340" s="22" t="s">
        <v>1040</v>
      </c>
      <c r="B340" s="22">
        <v>2026</v>
      </c>
      <c r="C340" s="22">
        <v>3</v>
      </c>
      <c r="D340" s="22">
        <v>21</v>
      </c>
      <c r="E340" s="22">
        <v>6</v>
      </c>
    </row>
    <row r="341" spans="1:5" x14ac:dyDescent="0.3">
      <c r="A341" s="22" t="s">
        <v>1043</v>
      </c>
      <c r="B341" s="22">
        <v>2026</v>
      </c>
      <c r="C341" s="22">
        <v>3</v>
      </c>
      <c r="D341" s="22">
        <v>9</v>
      </c>
      <c r="E341" s="22">
        <v>8</v>
      </c>
    </row>
    <row r="342" spans="1:5" x14ac:dyDescent="0.3">
      <c r="A342" s="22" t="s">
        <v>1046</v>
      </c>
      <c r="B342" s="22">
        <v>2026</v>
      </c>
      <c r="C342" s="22">
        <v>2</v>
      </c>
      <c r="D342" s="22">
        <v>29</v>
      </c>
      <c r="E342" s="22">
        <v>12</v>
      </c>
    </row>
    <row r="343" spans="1:5" x14ac:dyDescent="0.3">
      <c r="A343" s="22" t="s">
        <v>1049</v>
      </c>
      <c r="B343" s="22">
        <v>2026</v>
      </c>
      <c r="C343" s="22">
        <v>5</v>
      </c>
      <c r="D343" s="22">
        <v>17</v>
      </c>
      <c r="E343" s="22">
        <v>0</v>
      </c>
    </row>
    <row r="344" spans="1:5" x14ac:dyDescent="0.3">
      <c r="A344" s="22" t="s">
        <v>1052</v>
      </c>
      <c r="B344" s="22">
        <v>2026</v>
      </c>
      <c r="C344" s="22">
        <v>4</v>
      </c>
      <c r="D344" s="22">
        <v>1</v>
      </c>
      <c r="E344" s="22">
        <v>5</v>
      </c>
    </row>
    <row r="345" spans="1:5" x14ac:dyDescent="0.3">
      <c r="A345" s="22" t="s">
        <v>1055</v>
      </c>
      <c r="B345" s="22">
        <v>2026</v>
      </c>
      <c r="C345" s="22">
        <v>5</v>
      </c>
      <c r="D345" s="22">
        <v>23</v>
      </c>
      <c r="E345" s="22">
        <v>9</v>
      </c>
    </row>
    <row r="346" spans="1:5" x14ac:dyDescent="0.3">
      <c r="A346" s="22" t="s">
        <v>1058</v>
      </c>
      <c r="B346" s="22">
        <v>2026</v>
      </c>
      <c r="C346" s="22">
        <v>2</v>
      </c>
      <c r="D346" s="22">
        <v>30</v>
      </c>
      <c r="E346" s="22">
        <v>9</v>
      </c>
    </row>
    <row r="347" spans="1:5" x14ac:dyDescent="0.3">
      <c r="A347" s="22" t="s">
        <v>1061</v>
      </c>
      <c r="B347" s="22">
        <v>2026</v>
      </c>
      <c r="C347" s="22">
        <v>3</v>
      </c>
      <c r="D347" s="22">
        <v>44</v>
      </c>
      <c r="E347" s="22">
        <v>4</v>
      </c>
    </row>
    <row r="348" spans="1:5" x14ac:dyDescent="0.3">
      <c r="A348" s="22" t="s">
        <v>1064</v>
      </c>
      <c r="B348" s="22">
        <v>2026</v>
      </c>
      <c r="C348" s="22">
        <v>1</v>
      </c>
      <c r="D348" s="22">
        <v>46</v>
      </c>
      <c r="E348" s="22">
        <v>8</v>
      </c>
    </row>
    <row r="349" spans="1:5" x14ac:dyDescent="0.3">
      <c r="A349" s="22" t="s">
        <v>1067</v>
      </c>
      <c r="B349" s="22">
        <v>2026</v>
      </c>
      <c r="C349" s="22">
        <v>2</v>
      </c>
      <c r="D349" s="22">
        <v>1</v>
      </c>
      <c r="E349" s="22">
        <v>4</v>
      </c>
    </row>
    <row r="350" spans="1:5" x14ac:dyDescent="0.3">
      <c r="A350" s="22" t="s">
        <v>1070</v>
      </c>
      <c r="B350" s="22">
        <v>2026</v>
      </c>
      <c r="C350" s="22">
        <v>3</v>
      </c>
      <c r="D350" s="22">
        <v>7</v>
      </c>
      <c r="E350" s="22">
        <v>1</v>
      </c>
    </row>
    <row r="351" spans="1:5" x14ac:dyDescent="0.3">
      <c r="A351" s="22" t="s">
        <v>1073</v>
      </c>
      <c r="B351" s="22">
        <v>2026</v>
      </c>
      <c r="C351" s="22">
        <v>4</v>
      </c>
      <c r="D351" s="22">
        <v>19</v>
      </c>
      <c r="E351" s="22">
        <v>3</v>
      </c>
    </row>
    <row r="352" spans="1:5" x14ac:dyDescent="0.3">
      <c r="A352" s="22" t="s">
        <v>1076</v>
      </c>
      <c r="B352" s="22">
        <v>2026</v>
      </c>
      <c r="C352" s="22">
        <v>2</v>
      </c>
      <c r="D352" s="22">
        <v>43</v>
      </c>
      <c r="E352" s="22">
        <v>8</v>
      </c>
    </row>
    <row r="353" spans="1:5" x14ac:dyDescent="0.3">
      <c r="A353" s="22" t="s">
        <v>1079</v>
      </c>
      <c r="B353" s="22">
        <v>2026</v>
      </c>
      <c r="C353" s="22">
        <v>2</v>
      </c>
      <c r="D353" s="22">
        <v>55</v>
      </c>
      <c r="E353" s="22">
        <v>3</v>
      </c>
    </row>
    <row r="354" spans="1:5" x14ac:dyDescent="0.3">
      <c r="A354" s="22" t="s">
        <v>1082</v>
      </c>
      <c r="B354" s="22">
        <v>2026</v>
      </c>
      <c r="C354" s="22">
        <v>1</v>
      </c>
      <c r="D354" s="22">
        <v>25</v>
      </c>
      <c r="E354" s="22">
        <v>2</v>
      </c>
    </row>
    <row r="355" spans="1:5" x14ac:dyDescent="0.3">
      <c r="A355" s="22" t="s">
        <v>1085</v>
      </c>
      <c r="B355" s="22">
        <v>2026</v>
      </c>
      <c r="C355" s="22">
        <v>1</v>
      </c>
      <c r="D355" s="22">
        <v>57</v>
      </c>
      <c r="E355" s="22">
        <v>3</v>
      </c>
    </row>
    <row r="356" spans="1:5" x14ac:dyDescent="0.3">
      <c r="A356" s="22" t="s">
        <v>1088</v>
      </c>
      <c r="B356" s="22">
        <v>2026</v>
      </c>
      <c r="C356" s="22">
        <v>5</v>
      </c>
      <c r="D356" s="22">
        <v>36</v>
      </c>
      <c r="E356" s="22">
        <v>11</v>
      </c>
    </row>
    <row r="357" spans="1:5" x14ac:dyDescent="0.3">
      <c r="A357" s="22" t="s">
        <v>1091</v>
      </c>
      <c r="B357" s="22">
        <v>2026</v>
      </c>
      <c r="C357" s="22">
        <v>1</v>
      </c>
      <c r="D357" s="22">
        <v>6</v>
      </c>
      <c r="E357" s="22">
        <v>10</v>
      </c>
    </row>
    <row r="358" spans="1:5" x14ac:dyDescent="0.3">
      <c r="A358" s="22" t="s">
        <v>1094</v>
      </c>
      <c r="B358" s="22">
        <v>2026</v>
      </c>
      <c r="C358" s="22">
        <v>4</v>
      </c>
      <c r="D358" s="22">
        <v>56</v>
      </c>
      <c r="E358" s="22">
        <v>3</v>
      </c>
    </row>
    <row r="359" spans="1:5" x14ac:dyDescent="0.3">
      <c r="A359" s="22" t="s">
        <v>1097</v>
      </c>
      <c r="B359" s="22">
        <v>2026</v>
      </c>
      <c r="C359" s="22">
        <v>5</v>
      </c>
      <c r="D359" s="22">
        <v>58</v>
      </c>
      <c r="E359" s="22">
        <v>3</v>
      </c>
    </row>
    <row r="360" spans="1:5" x14ac:dyDescent="0.3">
      <c r="A360" s="22" t="s">
        <v>1100</v>
      </c>
      <c r="B360" s="22">
        <v>2026</v>
      </c>
      <c r="C360" s="22">
        <v>3</v>
      </c>
      <c r="D360" s="22">
        <v>40</v>
      </c>
      <c r="E360" s="22">
        <v>5</v>
      </c>
    </row>
    <row r="361" spans="1:5" x14ac:dyDescent="0.3">
      <c r="A361" s="22" t="s">
        <v>1103</v>
      </c>
      <c r="B361" s="22">
        <v>2026</v>
      </c>
      <c r="C361" s="22">
        <v>3</v>
      </c>
      <c r="D361" s="22">
        <v>40</v>
      </c>
      <c r="E361" s="22">
        <v>5</v>
      </c>
    </row>
    <row r="362" spans="1:5" x14ac:dyDescent="0.3">
      <c r="A362" s="22" t="s">
        <v>1106</v>
      </c>
      <c r="B362" s="22">
        <v>2026</v>
      </c>
      <c r="C362" s="22">
        <v>4</v>
      </c>
      <c r="D362" s="22">
        <v>32</v>
      </c>
      <c r="E362" s="22">
        <v>4</v>
      </c>
    </row>
    <row r="363" spans="1:5" x14ac:dyDescent="0.3">
      <c r="A363" s="22" t="s">
        <v>1109</v>
      </c>
      <c r="B363" s="22">
        <v>2026</v>
      </c>
      <c r="C363" s="22">
        <v>5</v>
      </c>
      <c r="D363" s="22">
        <v>7</v>
      </c>
      <c r="E363" s="22">
        <v>4</v>
      </c>
    </row>
    <row r="364" spans="1:5" x14ac:dyDescent="0.3">
      <c r="A364" s="22" t="s">
        <v>1112</v>
      </c>
      <c r="B364" s="22">
        <v>2026</v>
      </c>
      <c r="C364" s="22">
        <v>5</v>
      </c>
      <c r="D364" s="22">
        <v>1</v>
      </c>
      <c r="E364" s="22">
        <v>4</v>
      </c>
    </row>
    <row r="365" spans="1:5" x14ac:dyDescent="0.3">
      <c r="A365" s="22" t="s">
        <v>1115</v>
      </c>
      <c r="B365" s="22">
        <v>2026</v>
      </c>
      <c r="C365" s="22">
        <v>3</v>
      </c>
      <c r="D365" s="22">
        <v>37</v>
      </c>
      <c r="E365" s="22">
        <v>10</v>
      </c>
    </row>
    <row r="366" spans="1:5" x14ac:dyDescent="0.3">
      <c r="A366" s="22" t="s">
        <v>1118</v>
      </c>
      <c r="B366" s="22">
        <v>2026</v>
      </c>
      <c r="C366" s="22">
        <v>3</v>
      </c>
      <c r="D366" s="22">
        <v>26</v>
      </c>
      <c r="E366" s="22">
        <v>3</v>
      </c>
    </row>
    <row r="367" spans="1:5" x14ac:dyDescent="0.3">
      <c r="A367" s="22" t="s">
        <v>1121</v>
      </c>
      <c r="B367" s="22">
        <v>2026</v>
      </c>
      <c r="C367" s="22">
        <v>3</v>
      </c>
      <c r="D367" s="22">
        <v>39</v>
      </c>
      <c r="E367" s="22">
        <v>7</v>
      </c>
    </row>
    <row r="368" spans="1:5" x14ac:dyDescent="0.3">
      <c r="A368" s="22" t="s">
        <v>1124</v>
      </c>
      <c r="B368" s="22">
        <v>2026</v>
      </c>
      <c r="C368" s="22">
        <v>5</v>
      </c>
      <c r="D368" s="22">
        <v>37</v>
      </c>
      <c r="E368" s="22">
        <v>3</v>
      </c>
    </row>
    <row r="369" spans="1:5" x14ac:dyDescent="0.3">
      <c r="A369" s="22" t="s">
        <v>1127</v>
      </c>
      <c r="B369" s="22">
        <v>2026</v>
      </c>
      <c r="C369" s="22">
        <v>2</v>
      </c>
      <c r="D369" s="22">
        <v>60</v>
      </c>
      <c r="E369" s="22">
        <v>10</v>
      </c>
    </row>
    <row r="370" spans="1:5" x14ac:dyDescent="0.3">
      <c r="A370" s="22" t="s">
        <v>1130</v>
      </c>
      <c r="B370" s="22">
        <v>2026</v>
      </c>
      <c r="C370" s="22">
        <v>5</v>
      </c>
      <c r="D370" s="22">
        <v>21</v>
      </c>
      <c r="E370" s="22">
        <v>9</v>
      </c>
    </row>
    <row r="371" spans="1:5" x14ac:dyDescent="0.3">
      <c r="A371" s="22" t="s">
        <v>1133</v>
      </c>
      <c r="B371" s="22">
        <v>2026</v>
      </c>
      <c r="C371" s="22">
        <v>2</v>
      </c>
      <c r="D371" s="22">
        <v>11</v>
      </c>
      <c r="E371" s="22">
        <v>8</v>
      </c>
    </row>
    <row r="372" spans="1:5" x14ac:dyDescent="0.3">
      <c r="A372" s="22" t="s">
        <v>1136</v>
      </c>
      <c r="B372" s="22">
        <v>2026</v>
      </c>
      <c r="C372" s="22">
        <v>4</v>
      </c>
      <c r="D372" s="22">
        <v>28</v>
      </c>
      <c r="E372" s="22">
        <v>2</v>
      </c>
    </row>
    <row r="373" spans="1:5" x14ac:dyDescent="0.3">
      <c r="A373" s="22" t="s">
        <v>1139</v>
      </c>
      <c r="B373" s="22">
        <v>2026</v>
      </c>
      <c r="C373" s="22">
        <v>1</v>
      </c>
      <c r="D373" s="22">
        <v>55</v>
      </c>
      <c r="E373" s="22">
        <v>7</v>
      </c>
    </row>
    <row r="374" spans="1:5" x14ac:dyDescent="0.3">
      <c r="A374" s="22" t="s">
        <v>1141</v>
      </c>
      <c r="B374" s="22">
        <v>2026</v>
      </c>
      <c r="C374" s="22">
        <v>5</v>
      </c>
      <c r="D374" s="22">
        <v>31</v>
      </c>
      <c r="E374" s="22">
        <v>12</v>
      </c>
    </row>
    <row r="375" spans="1:5" x14ac:dyDescent="0.3">
      <c r="A375" s="22" t="s">
        <v>1143</v>
      </c>
      <c r="B375" s="22">
        <v>2026</v>
      </c>
      <c r="C375" s="22">
        <v>5</v>
      </c>
      <c r="D375" s="22">
        <v>53</v>
      </c>
      <c r="E375" s="22">
        <v>11</v>
      </c>
    </row>
    <row r="376" spans="1:5" x14ac:dyDescent="0.3">
      <c r="A376" s="22" t="s">
        <v>1146</v>
      </c>
      <c r="B376" s="22">
        <v>2026</v>
      </c>
      <c r="C376" s="22">
        <v>3</v>
      </c>
      <c r="D376" s="22">
        <v>29</v>
      </c>
      <c r="E376" s="22">
        <v>3</v>
      </c>
    </row>
    <row r="377" spans="1:5" x14ac:dyDescent="0.3">
      <c r="A377" s="22" t="s">
        <v>1149</v>
      </c>
      <c r="B377" s="22">
        <v>2026</v>
      </c>
      <c r="C377" s="22">
        <v>3</v>
      </c>
      <c r="D377" s="22">
        <v>36</v>
      </c>
      <c r="E377" s="22">
        <v>4</v>
      </c>
    </row>
    <row r="378" spans="1:5" x14ac:dyDescent="0.3">
      <c r="A378" s="22" t="s">
        <v>1152</v>
      </c>
      <c r="B378" s="22">
        <v>2026</v>
      </c>
      <c r="C378" s="22">
        <v>1</v>
      </c>
      <c r="D378" s="22">
        <v>40</v>
      </c>
      <c r="E378" s="22">
        <v>8</v>
      </c>
    </row>
    <row r="379" spans="1:5" x14ac:dyDescent="0.3">
      <c r="A379" s="22" t="s">
        <v>1155</v>
      </c>
      <c r="B379" s="22">
        <v>2026</v>
      </c>
      <c r="C379" s="22">
        <v>3</v>
      </c>
      <c r="D379" s="22">
        <v>53</v>
      </c>
      <c r="E379" s="22">
        <v>2</v>
      </c>
    </row>
    <row r="380" spans="1:5" x14ac:dyDescent="0.3">
      <c r="A380" s="22" t="s">
        <v>1158</v>
      </c>
      <c r="B380" s="22">
        <v>2026</v>
      </c>
      <c r="C380" s="22">
        <v>3</v>
      </c>
      <c r="D380" s="22">
        <v>53</v>
      </c>
      <c r="E380" s="22">
        <v>4</v>
      </c>
    </row>
    <row r="381" spans="1:5" x14ac:dyDescent="0.3">
      <c r="A381" s="22" t="s">
        <v>1161</v>
      </c>
      <c r="B381" s="22">
        <v>2026</v>
      </c>
      <c r="C381" s="22">
        <v>2</v>
      </c>
      <c r="D381" s="22">
        <v>52</v>
      </c>
      <c r="E381" s="22">
        <v>9</v>
      </c>
    </row>
    <row r="382" spans="1:5" x14ac:dyDescent="0.3">
      <c r="A382" s="22" t="s">
        <v>1164</v>
      </c>
      <c r="B382" s="22">
        <v>2026</v>
      </c>
      <c r="C382" s="22">
        <v>4</v>
      </c>
      <c r="D382" s="22">
        <v>3</v>
      </c>
      <c r="E382" s="22">
        <v>4</v>
      </c>
    </row>
    <row r="383" spans="1:5" x14ac:dyDescent="0.3">
      <c r="A383" s="22" t="s">
        <v>1166</v>
      </c>
      <c r="B383" s="22">
        <v>2026</v>
      </c>
      <c r="C383" s="22">
        <v>3</v>
      </c>
      <c r="D383" s="22">
        <v>11</v>
      </c>
      <c r="E383" s="22">
        <v>11</v>
      </c>
    </row>
    <row r="384" spans="1:5" x14ac:dyDescent="0.3">
      <c r="A384" s="22" t="s">
        <v>1169</v>
      </c>
      <c r="B384" s="22">
        <v>2026</v>
      </c>
      <c r="C384" s="22">
        <v>4</v>
      </c>
      <c r="D384" s="22">
        <v>18</v>
      </c>
      <c r="E384" s="22">
        <v>10</v>
      </c>
    </row>
    <row r="385" spans="1:5" x14ac:dyDescent="0.3">
      <c r="A385" s="22" t="s">
        <v>1172</v>
      </c>
      <c r="B385" s="22">
        <v>2026</v>
      </c>
      <c r="C385" s="22">
        <v>2</v>
      </c>
      <c r="D385" s="22">
        <v>36</v>
      </c>
      <c r="E385" s="22">
        <v>5</v>
      </c>
    </row>
    <row r="386" spans="1:5" x14ac:dyDescent="0.3">
      <c r="A386" s="22" t="s">
        <v>1175</v>
      </c>
      <c r="B386" s="22">
        <v>2026</v>
      </c>
      <c r="C386" s="22">
        <v>4</v>
      </c>
      <c r="D386" s="22">
        <v>41</v>
      </c>
      <c r="E386" s="22">
        <v>5</v>
      </c>
    </row>
    <row r="387" spans="1:5" x14ac:dyDescent="0.3">
      <c r="A387" s="22" t="s">
        <v>1177</v>
      </c>
      <c r="B387" s="22">
        <v>2026</v>
      </c>
      <c r="C387" s="22">
        <v>4</v>
      </c>
      <c r="D387" s="22">
        <v>12</v>
      </c>
      <c r="E387" s="22">
        <v>2</v>
      </c>
    </row>
    <row r="388" spans="1:5" x14ac:dyDescent="0.3">
      <c r="A388" s="22" t="s">
        <v>1180</v>
      </c>
      <c r="B388" s="22">
        <v>2026</v>
      </c>
      <c r="C388" s="22">
        <v>1</v>
      </c>
      <c r="D388" s="22">
        <v>50</v>
      </c>
      <c r="E388" s="22">
        <v>5</v>
      </c>
    </row>
    <row r="389" spans="1:5" x14ac:dyDescent="0.3">
      <c r="A389" s="22" t="s">
        <v>1183</v>
      </c>
      <c r="B389" s="22">
        <v>2026</v>
      </c>
      <c r="C389" s="22">
        <v>1</v>
      </c>
      <c r="D389" s="22">
        <v>1</v>
      </c>
      <c r="E389" s="22">
        <v>8</v>
      </c>
    </row>
    <row r="390" spans="1:5" x14ac:dyDescent="0.3">
      <c r="A390" s="22" t="s">
        <v>1186</v>
      </c>
      <c r="B390" s="22">
        <v>2026</v>
      </c>
      <c r="C390" s="22">
        <v>3</v>
      </c>
      <c r="D390" s="22">
        <v>3</v>
      </c>
      <c r="E390" s="22">
        <v>4</v>
      </c>
    </row>
    <row r="391" spans="1:5" x14ac:dyDescent="0.3">
      <c r="A391" s="22" t="s">
        <v>1189</v>
      </c>
      <c r="B391" s="22">
        <v>2026</v>
      </c>
      <c r="C391" s="22">
        <v>5</v>
      </c>
      <c r="D391" s="22">
        <v>14</v>
      </c>
      <c r="E391" s="22">
        <v>10</v>
      </c>
    </row>
    <row r="392" spans="1:5" x14ac:dyDescent="0.3">
      <c r="A392" s="22" t="s">
        <v>1192</v>
      </c>
      <c r="B392" s="22">
        <v>2026</v>
      </c>
      <c r="C392" s="22">
        <v>5</v>
      </c>
      <c r="D392" s="22">
        <v>26</v>
      </c>
      <c r="E392" s="22">
        <v>2</v>
      </c>
    </row>
    <row r="393" spans="1:5" x14ac:dyDescent="0.3">
      <c r="A393" s="22" t="s">
        <v>1195</v>
      </c>
      <c r="B393" s="22">
        <v>2026</v>
      </c>
      <c r="C393" s="22">
        <v>4</v>
      </c>
      <c r="D393" s="22">
        <v>11</v>
      </c>
      <c r="E393" s="22">
        <v>0</v>
      </c>
    </row>
    <row r="394" spans="1:5" x14ac:dyDescent="0.3">
      <c r="A394" s="22" t="s">
        <v>1198</v>
      </c>
      <c r="B394" s="22">
        <v>2026</v>
      </c>
      <c r="C394" s="22">
        <v>4</v>
      </c>
      <c r="D394" s="22">
        <v>49</v>
      </c>
      <c r="E394" s="22">
        <v>12</v>
      </c>
    </row>
    <row r="395" spans="1:5" x14ac:dyDescent="0.3">
      <c r="A395" s="22" t="s">
        <v>1201</v>
      </c>
      <c r="B395" s="22">
        <v>2026</v>
      </c>
      <c r="C395" s="22">
        <v>4</v>
      </c>
      <c r="D395" s="22">
        <v>46</v>
      </c>
      <c r="E395" s="22">
        <v>9</v>
      </c>
    </row>
    <row r="396" spans="1:5" x14ac:dyDescent="0.3">
      <c r="A396" s="22" t="s">
        <v>1204</v>
      </c>
      <c r="B396" s="22">
        <v>2026</v>
      </c>
      <c r="C396" s="22">
        <v>2</v>
      </c>
      <c r="D396" s="22">
        <v>27</v>
      </c>
      <c r="E396" s="22">
        <v>12</v>
      </c>
    </row>
    <row r="397" spans="1:5" x14ac:dyDescent="0.3">
      <c r="A397" s="22" t="s">
        <v>1207</v>
      </c>
      <c r="B397" s="22">
        <v>2026</v>
      </c>
      <c r="C397" s="22">
        <v>5</v>
      </c>
      <c r="D397" s="22">
        <v>26</v>
      </c>
      <c r="E397" s="22">
        <v>5</v>
      </c>
    </row>
    <row r="398" spans="1:5" x14ac:dyDescent="0.3">
      <c r="A398" s="22" t="s">
        <v>1210</v>
      </c>
      <c r="B398" s="22">
        <v>2026</v>
      </c>
      <c r="C398" s="22">
        <v>4</v>
      </c>
      <c r="D398" s="22">
        <v>39</v>
      </c>
      <c r="E398" s="22">
        <v>4</v>
      </c>
    </row>
    <row r="399" spans="1:5" x14ac:dyDescent="0.3">
      <c r="A399" s="22" t="s">
        <v>1213</v>
      </c>
      <c r="B399" s="22">
        <v>2026</v>
      </c>
      <c r="C399" s="22">
        <v>3</v>
      </c>
      <c r="D399" s="22">
        <v>6</v>
      </c>
      <c r="E399" s="22">
        <v>0</v>
      </c>
    </row>
    <row r="400" spans="1:5" x14ac:dyDescent="0.3">
      <c r="A400" s="22" t="s">
        <v>1216</v>
      </c>
      <c r="B400" s="22">
        <v>2026</v>
      </c>
      <c r="C400" s="22">
        <v>1</v>
      </c>
      <c r="D400" s="22">
        <v>47</v>
      </c>
      <c r="E400" s="22">
        <v>5</v>
      </c>
    </row>
    <row r="401" spans="1:5" x14ac:dyDescent="0.3">
      <c r="A401" s="22" t="s">
        <v>1218</v>
      </c>
      <c r="B401" s="22">
        <v>2026</v>
      </c>
      <c r="C401" s="22">
        <v>5</v>
      </c>
      <c r="D401" s="22">
        <v>47</v>
      </c>
      <c r="E401" s="22">
        <v>6</v>
      </c>
    </row>
    <row r="402" spans="1:5" x14ac:dyDescent="0.3">
      <c r="A402" s="22" t="s">
        <v>1221</v>
      </c>
      <c r="B402" s="22">
        <v>2026</v>
      </c>
      <c r="C402" s="22">
        <v>5</v>
      </c>
      <c r="D402" s="22">
        <v>23</v>
      </c>
      <c r="E402" s="22">
        <v>4</v>
      </c>
    </row>
    <row r="403" spans="1:5" x14ac:dyDescent="0.3">
      <c r="A403" s="22" t="s">
        <v>1224</v>
      </c>
      <c r="B403" s="22">
        <v>2026</v>
      </c>
      <c r="C403" s="22">
        <v>2</v>
      </c>
      <c r="D403" s="22">
        <v>9</v>
      </c>
      <c r="E403" s="22">
        <v>11</v>
      </c>
    </row>
    <row r="404" spans="1:5" x14ac:dyDescent="0.3">
      <c r="A404" s="22" t="s">
        <v>1227</v>
      </c>
      <c r="B404" s="22">
        <v>2026</v>
      </c>
      <c r="C404" s="22">
        <v>1</v>
      </c>
      <c r="D404" s="22">
        <v>34</v>
      </c>
      <c r="E404" s="22">
        <v>6</v>
      </c>
    </row>
    <row r="405" spans="1:5" x14ac:dyDescent="0.3">
      <c r="A405" s="22" t="s">
        <v>1230</v>
      </c>
      <c r="B405" s="22">
        <v>2026</v>
      </c>
      <c r="C405" s="22">
        <v>2</v>
      </c>
      <c r="D405" s="22">
        <v>33</v>
      </c>
      <c r="E405" s="22">
        <v>7</v>
      </c>
    </row>
    <row r="406" spans="1:5" x14ac:dyDescent="0.3">
      <c r="A406" s="22" t="s">
        <v>1233</v>
      </c>
      <c r="B406" s="22">
        <v>2026</v>
      </c>
      <c r="C406" s="22">
        <v>4</v>
      </c>
      <c r="D406" s="22">
        <v>44</v>
      </c>
      <c r="E406" s="22">
        <v>9</v>
      </c>
    </row>
    <row r="407" spans="1:5" x14ac:dyDescent="0.3">
      <c r="A407" s="22" t="s">
        <v>1236</v>
      </c>
      <c r="B407" s="22">
        <v>2026</v>
      </c>
      <c r="C407" s="22">
        <v>3</v>
      </c>
      <c r="D407" s="22">
        <v>13</v>
      </c>
      <c r="E407" s="22">
        <v>1</v>
      </c>
    </row>
    <row r="408" spans="1:5" x14ac:dyDescent="0.3">
      <c r="A408" s="22" t="s">
        <v>1239</v>
      </c>
      <c r="B408" s="22">
        <v>2026</v>
      </c>
      <c r="C408" s="22">
        <v>3</v>
      </c>
      <c r="D408" s="22">
        <v>33</v>
      </c>
      <c r="E408" s="22">
        <v>4</v>
      </c>
    </row>
    <row r="409" spans="1:5" x14ac:dyDescent="0.3">
      <c r="A409" s="22" t="s">
        <v>1242</v>
      </c>
      <c r="B409" s="22">
        <v>2026</v>
      </c>
      <c r="C409" s="22">
        <v>5</v>
      </c>
      <c r="D409" s="22">
        <v>36</v>
      </c>
      <c r="E409" s="22">
        <v>0</v>
      </c>
    </row>
    <row r="410" spans="1:5" x14ac:dyDescent="0.3">
      <c r="A410" s="22" t="s">
        <v>1245</v>
      </c>
      <c r="B410" s="22">
        <v>2026</v>
      </c>
      <c r="C410" s="22">
        <v>1</v>
      </c>
      <c r="D410" s="22">
        <v>39</v>
      </c>
      <c r="E410" s="22">
        <v>7</v>
      </c>
    </row>
    <row r="411" spans="1:5" x14ac:dyDescent="0.3">
      <c r="A411" s="22" t="s">
        <v>1248</v>
      </c>
      <c r="B411" s="22">
        <v>2026</v>
      </c>
      <c r="C411" s="22">
        <v>5</v>
      </c>
      <c r="D411" s="22">
        <v>22</v>
      </c>
      <c r="E411" s="22">
        <v>8</v>
      </c>
    </row>
    <row r="412" spans="1:5" x14ac:dyDescent="0.3">
      <c r="A412" s="22" t="s">
        <v>1251</v>
      </c>
      <c r="B412" s="22">
        <v>2026</v>
      </c>
      <c r="C412" s="22">
        <v>1</v>
      </c>
      <c r="D412" s="22">
        <v>57</v>
      </c>
      <c r="E412" s="22">
        <v>0</v>
      </c>
    </row>
    <row r="413" spans="1:5" x14ac:dyDescent="0.3">
      <c r="A413" s="22" t="s">
        <v>1254</v>
      </c>
      <c r="B413" s="22">
        <v>2026</v>
      </c>
      <c r="C413" s="22">
        <v>3</v>
      </c>
      <c r="D413" s="22">
        <v>30</v>
      </c>
      <c r="E413" s="22">
        <v>6</v>
      </c>
    </row>
    <row r="414" spans="1:5" x14ac:dyDescent="0.3">
      <c r="A414" s="22" t="s">
        <v>1257</v>
      </c>
      <c r="B414" s="22">
        <v>2026</v>
      </c>
      <c r="C414" s="22">
        <v>4</v>
      </c>
      <c r="D414" s="22">
        <v>24</v>
      </c>
      <c r="E414" s="22">
        <v>4</v>
      </c>
    </row>
    <row r="415" spans="1:5" x14ac:dyDescent="0.3">
      <c r="A415" s="22" t="s">
        <v>1260</v>
      </c>
      <c r="B415" s="22">
        <v>2026</v>
      </c>
      <c r="C415" s="22">
        <v>3</v>
      </c>
      <c r="D415" s="22">
        <v>10</v>
      </c>
      <c r="E415" s="22">
        <v>3</v>
      </c>
    </row>
    <row r="416" spans="1:5" x14ac:dyDescent="0.3">
      <c r="A416" s="22" t="s">
        <v>1263</v>
      </c>
      <c r="B416" s="22">
        <v>2026</v>
      </c>
      <c r="C416" s="22">
        <v>1</v>
      </c>
      <c r="D416" s="22">
        <v>22</v>
      </c>
      <c r="E416" s="22">
        <v>7</v>
      </c>
    </row>
    <row r="417" spans="1:5" x14ac:dyDescent="0.3">
      <c r="A417" s="22" t="s">
        <v>1266</v>
      </c>
      <c r="B417" s="22">
        <v>2026</v>
      </c>
      <c r="C417" s="22">
        <v>2</v>
      </c>
      <c r="D417" s="22">
        <v>3</v>
      </c>
      <c r="E417" s="22">
        <v>0</v>
      </c>
    </row>
    <row r="418" spans="1:5" x14ac:dyDescent="0.3">
      <c r="A418" s="22" t="s">
        <v>1269</v>
      </c>
      <c r="B418" s="22">
        <v>2026</v>
      </c>
      <c r="C418" s="22">
        <v>1</v>
      </c>
      <c r="D418" s="22">
        <v>45</v>
      </c>
      <c r="E418" s="22">
        <v>8</v>
      </c>
    </row>
    <row r="419" spans="1:5" x14ac:dyDescent="0.3">
      <c r="A419" s="22" t="s">
        <v>1272</v>
      </c>
      <c r="B419" s="22">
        <v>2026</v>
      </c>
      <c r="C419" s="22">
        <v>3</v>
      </c>
      <c r="D419" s="22">
        <v>31</v>
      </c>
      <c r="E419" s="22">
        <v>9</v>
      </c>
    </row>
    <row r="420" spans="1:5" x14ac:dyDescent="0.3">
      <c r="A420" s="22" t="s">
        <v>1275</v>
      </c>
      <c r="B420" s="22">
        <v>2026</v>
      </c>
      <c r="C420" s="22">
        <v>3</v>
      </c>
      <c r="D420" s="22">
        <v>47</v>
      </c>
      <c r="E420" s="22">
        <v>0</v>
      </c>
    </row>
    <row r="421" spans="1:5" x14ac:dyDescent="0.3">
      <c r="A421" s="22" t="s">
        <v>1278</v>
      </c>
      <c r="B421" s="22">
        <v>2026</v>
      </c>
      <c r="C421" s="22">
        <v>1</v>
      </c>
      <c r="D421" s="22">
        <v>18</v>
      </c>
      <c r="E421" s="22">
        <v>2</v>
      </c>
    </row>
    <row r="422" spans="1:5" x14ac:dyDescent="0.3">
      <c r="A422" s="22" t="s">
        <v>1281</v>
      </c>
      <c r="B422" s="22">
        <v>2026</v>
      </c>
      <c r="C422" s="22">
        <v>1</v>
      </c>
      <c r="D422" s="22">
        <v>25</v>
      </c>
      <c r="E422" s="22">
        <v>6</v>
      </c>
    </row>
    <row r="423" spans="1:5" x14ac:dyDescent="0.3">
      <c r="A423" s="22" t="s">
        <v>1284</v>
      </c>
      <c r="B423" s="22">
        <v>2026</v>
      </c>
      <c r="C423" s="22">
        <v>4</v>
      </c>
      <c r="D423" s="22">
        <v>60</v>
      </c>
      <c r="E423" s="22">
        <v>6</v>
      </c>
    </row>
    <row r="424" spans="1:5" x14ac:dyDescent="0.3">
      <c r="A424" s="22" t="s">
        <v>1287</v>
      </c>
      <c r="B424" s="22">
        <v>2026</v>
      </c>
      <c r="C424" s="22">
        <v>4</v>
      </c>
      <c r="D424" s="22">
        <v>53</v>
      </c>
      <c r="E424" s="22">
        <v>8</v>
      </c>
    </row>
    <row r="425" spans="1:5" x14ac:dyDescent="0.3">
      <c r="A425" s="22" t="s">
        <v>1290</v>
      </c>
      <c r="B425" s="22">
        <v>2026</v>
      </c>
      <c r="C425" s="22">
        <v>3</v>
      </c>
      <c r="D425" s="22">
        <v>17</v>
      </c>
      <c r="E425" s="22">
        <v>9</v>
      </c>
    </row>
    <row r="426" spans="1:5" x14ac:dyDescent="0.3">
      <c r="A426" s="22" t="s">
        <v>1293</v>
      </c>
      <c r="B426" s="22">
        <v>2026</v>
      </c>
      <c r="C426" s="22">
        <v>2</v>
      </c>
      <c r="D426" s="22">
        <v>25</v>
      </c>
      <c r="E426" s="22">
        <v>7</v>
      </c>
    </row>
    <row r="427" spans="1:5" x14ac:dyDescent="0.3">
      <c r="A427" s="22" t="s">
        <v>1296</v>
      </c>
      <c r="B427" s="22">
        <v>2026</v>
      </c>
      <c r="C427" s="22">
        <v>5</v>
      </c>
      <c r="D427" s="22">
        <v>42</v>
      </c>
      <c r="E427" s="22">
        <v>2</v>
      </c>
    </row>
    <row r="428" spans="1:5" x14ac:dyDescent="0.3">
      <c r="A428" s="22" t="s">
        <v>1299</v>
      </c>
      <c r="B428" s="22">
        <v>2026</v>
      </c>
      <c r="C428" s="22">
        <v>3</v>
      </c>
      <c r="D428" s="22">
        <v>2</v>
      </c>
      <c r="E428" s="22">
        <v>2</v>
      </c>
    </row>
    <row r="429" spans="1:5" x14ac:dyDescent="0.3">
      <c r="A429" s="22" t="s">
        <v>1302</v>
      </c>
      <c r="B429" s="22">
        <v>2026</v>
      </c>
      <c r="C429" s="22">
        <v>2</v>
      </c>
      <c r="D429" s="22">
        <v>19</v>
      </c>
      <c r="E429" s="22">
        <v>3</v>
      </c>
    </row>
    <row r="430" spans="1:5" x14ac:dyDescent="0.3">
      <c r="A430" s="22" t="s">
        <v>1304</v>
      </c>
      <c r="B430" s="22">
        <v>2026</v>
      </c>
      <c r="C430" s="22">
        <v>1</v>
      </c>
      <c r="D430" s="22">
        <v>35</v>
      </c>
      <c r="E430" s="22">
        <v>5</v>
      </c>
    </row>
    <row r="431" spans="1:5" x14ac:dyDescent="0.3">
      <c r="A431" s="22" t="s">
        <v>1306</v>
      </c>
      <c r="B431" s="22">
        <v>2026</v>
      </c>
      <c r="C431" s="22">
        <v>5</v>
      </c>
      <c r="D431" s="22">
        <v>12</v>
      </c>
      <c r="E431" s="22">
        <v>7</v>
      </c>
    </row>
    <row r="432" spans="1:5" x14ac:dyDescent="0.3">
      <c r="A432" s="22" t="s">
        <v>1309</v>
      </c>
      <c r="B432" s="22">
        <v>2026</v>
      </c>
      <c r="C432" s="22">
        <v>2</v>
      </c>
      <c r="D432" s="22">
        <v>55</v>
      </c>
      <c r="E432" s="22">
        <v>3</v>
      </c>
    </row>
    <row r="433" spans="1:5" x14ac:dyDescent="0.3">
      <c r="A433" s="22" t="s">
        <v>1312</v>
      </c>
      <c r="B433" s="22">
        <v>2026</v>
      </c>
      <c r="C433" s="22">
        <v>4</v>
      </c>
      <c r="D433" s="22">
        <v>41</v>
      </c>
      <c r="E433" s="22">
        <v>7</v>
      </c>
    </row>
    <row r="434" spans="1:5" x14ac:dyDescent="0.3">
      <c r="A434" s="22" t="s">
        <v>1315</v>
      </c>
      <c r="B434" s="22">
        <v>2026</v>
      </c>
      <c r="C434" s="22">
        <v>1</v>
      </c>
      <c r="D434" s="22">
        <v>45</v>
      </c>
      <c r="E434" s="22">
        <v>7</v>
      </c>
    </row>
    <row r="435" spans="1:5" x14ac:dyDescent="0.3">
      <c r="A435" s="22" t="s">
        <v>1318</v>
      </c>
      <c r="B435" s="22">
        <v>2026</v>
      </c>
      <c r="C435" s="22">
        <v>4</v>
      </c>
      <c r="D435" s="22">
        <v>51</v>
      </c>
      <c r="E435" s="22">
        <v>9</v>
      </c>
    </row>
    <row r="436" spans="1:5" x14ac:dyDescent="0.3">
      <c r="A436" s="22" t="s">
        <v>1321</v>
      </c>
      <c r="B436" s="22">
        <v>2026</v>
      </c>
      <c r="C436" s="22">
        <v>1</v>
      </c>
      <c r="D436" s="22">
        <v>5</v>
      </c>
      <c r="E436" s="22">
        <v>10</v>
      </c>
    </row>
    <row r="437" spans="1:5" x14ac:dyDescent="0.3">
      <c r="A437" s="22" t="s">
        <v>1323</v>
      </c>
      <c r="B437" s="22">
        <v>2026</v>
      </c>
      <c r="C437" s="22">
        <v>1</v>
      </c>
      <c r="D437" s="22">
        <v>27</v>
      </c>
      <c r="E437" s="22">
        <v>9</v>
      </c>
    </row>
    <row r="438" spans="1:5" x14ac:dyDescent="0.3">
      <c r="A438" s="22" t="s">
        <v>1325</v>
      </c>
      <c r="B438" s="22">
        <v>2026</v>
      </c>
      <c r="C438" s="22">
        <v>2</v>
      </c>
      <c r="D438" s="22">
        <v>41</v>
      </c>
      <c r="E438" s="22">
        <v>5</v>
      </c>
    </row>
    <row r="439" spans="1:5" x14ac:dyDescent="0.3">
      <c r="A439" s="22" t="s">
        <v>1328</v>
      </c>
      <c r="B439" s="22">
        <v>2026</v>
      </c>
      <c r="C439" s="22">
        <v>2</v>
      </c>
      <c r="D439" s="22">
        <v>58</v>
      </c>
      <c r="E439" s="22">
        <v>11</v>
      </c>
    </row>
    <row r="440" spans="1:5" x14ac:dyDescent="0.3">
      <c r="A440" s="22" t="s">
        <v>1331</v>
      </c>
      <c r="B440" s="22">
        <v>2026</v>
      </c>
      <c r="C440" s="22">
        <v>2</v>
      </c>
      <c r="D440" s="22">
        <v>58</v>
      </c>
      <c r="E440" s="22">
        <v>9</v>
      </c>
    </row>
    <row r="441" spans="1:5" x14ac:dyDescent="0.3">
      <c r="A441" s="22" t="s">
        <v>1334</v>
      </c>
      <c r="B441" s="22">
        <v>2026</v>
      </c>
      <c r="C441" s="22">
        <v>4</v>
      </c>
      <c r="D441" s="22">
        <v>28</v>
      </c>
      <c r="E441" s="22">
        <v>1</v>
      </c>
    </row>
    <row r="442" spans="1:5" x14ac:dyDescent="0.3">
      <c r="A442" s="22" t="s">
        <v>1336</v>
      </c>
      <c r="B442" s="22">
        <v>2026</v>
      </c>
      <c r="C442" s="22">
        <v>2</v>
      </c>
      <c r="D442" s="22">
        <v>35</v>
      </c>
      <c r="E442" s="22">
        <v>12</v>
      </c>
    </row>
    <row r="443" spans="1:5" x14ac:dyDescent="0.3">
      <c r="A443" s="22" t="s">
        <v>1339</v>
      </c>
      <c r="B443" s="22">
        <v>2026</v>
      </c>
      <c r="C443" s="22">
        <v>2</v>
      </c>
      <c r="D443" s="22">
        <v>37</v>
      </c>
      <c r="E443" s="22">
        <v>6</v>
      </c>
    </row>
    <row r="444" spans="1:5" x14ac:dyDescent="0.3">
      <c r="A444" s="22" t="s">
        <v>1342</v>
      </c>
      <c r="B444" s="22">
        <v>2026</v>
      </c>
      <c r="C444" s="22">
        <v>2</v>
      </c>
      <c r="D444" s="22">
        <v>51</v>
      </c>
      <c r="E444" s="22">
        <v>2</v>
      </c>
    </row>
    <row r="445" spans="1:5" x14ac:dyDescent="0.3">
      <c r="A445" s="22" t="s">
        <v>1345</v>
      </c>
      <c r="B445" s="22">
        <v>2026</v>
      </c>
      <c r="C445" s="22">
        <v>2</v>
      </c>
      <c r="D445" s="22">
        <v>13</v>
      </c>
      <c r="E445" s="22">
        <v>5</v>
      </c>
    </row>
    <row r="446" spans="1:5" x14ac:dyDescent="0.3">
      <c r="A446" s="22" t="s">
        <v>1348</v>
      </c>
      <c r="B446" s="22">
        <v>2026</v>
      </c>
      <c r="C446" s="22">
        <v>2</v>
      </c>
      <c r="D446" s="22">
        <v>27</v>
      </c>
      <c r="E446" s="22">
        <v>10</v>
      </c>
    </row>
    <row r="447" spans="1:5" x14ac:dyDescent="0.3">
      <c r="A447" s="22" t="s">
        <v>1351</v>
      </c>
      <c r="B447" s="22">
        <v>2026</v>
      </c>
      <c r="C447" s="22">
        <v>1</v>
      </c>
      <c r="D447" s="22">
        <v>58</v>
      </c>
      <c r="E447" s="22">
        <v>11</v>
      </c>
    </row>
    <row r="448" spans="1:5" x14ac:dyDescent="0.3">
      <c r="A448" s="22" t="s">
        <v>1354</v>
      </c>
      <c r="B448" s="22">
        <v>2026</v>
      </c>
      <c r="C448" s="22">
        <v>1</v>
      </c>
      <c r="D448" s="22">
        <v>32</v>
      </c>
      <c r="E448" s="22">
        <v>10</v>
      </c>
    </row>
    <row r="449" spans="1:5" x14ac:dyDescent="0.3">
      <c r="A449" s="22" t="s">
        <v>1357</v>
      </c>
      <c r="B449" s="22">
        <v>2026</v>
      </c>
      <c r="C449" s="22">
        <v>4</v>
      </c>
      <c r="D449" s="22">
        <v>57</v>
      </c>
      <c r="E449" s="22">
        <v>6</v>
      </c>
    </row>
    <row r="450" spans="1:5" x14ac:dyDescent="0.3">
      <c r="A450" s="22" t="s">
        <v>1360</v>
      </c>
      <c r="B450" s="22">
        <v>2026</v>
      </c>
      <c r="C450" s="22">
        <v>1</v>
      </c>
      <c r="D450" s="22">
        <v>32</v>
      </c>
      <c r="E450" s="22">
        <v>0</v>
      </c>
    </row>
    <row r="451" spans="1:5" x14ac:dyDescent="0.3">
      <c r="A451" s="22" t="s">
        <v>1363</v>
      </c>
      <c r="B451" s="22">
        <v>2026</v>
      </c>
      <c r="C451" s="22">
        <v>2</v>
      </c>
      <c r="D451" s="22">
        <v>59</v>
      </c>
      <c r="E451" s="22">
        <v>9</v>
      </c>
    </row>
    <row r="452" spans="1:5" x14ac:dyDescent="0.3">
      <c r="A452" s="22" t="s">
        <v>1366</v>
      </c>
      <c r="B452" s="22">
        <v>2026</v>
      </c>
      <c r="C452" s="22">
        <v>5</v>
      </c>
      <c r="D452" s="22">
        <v>49</v>
      </c>
      <c r="E452" s="22">
        <v>6</v>
      </c>
    </row>
    <row r="453" spans="1:5" x14ac:dyDescent="0.3">
      <c r="A453" s="22" t="s">
        <v>1369</v>
      </c>
      <c r="B453" s="22">
        <v>2026</v>
      </c>
      <c r="C453" s="22">
        <v>3</v>
      </c>
      <c r="D453" s="22">
        <v>5</v>
      </c>
      <c r="E453" s="22">
        <v>1</v>
      </c>
    </row>
    <row r="454" spans="1:5" x14ac:dyDescent="0.3">
      <c r="A454" s="22" t="s">
        <v>1372</v>
      </c>
      <c r="B454" s="22">
        <v>2026</v>
      </c>
      <c r="C454" s="22">
        <v>4</v>
      </c>
      <c r="D454" s="22">
        <v>58</v>
      </c>
      <c r="E454" s="22">
        <v>10</v>
      </c>
    </row>
    <row r="455" spans="1:5" x14ac:dyDescent="0.3">
      <c r="A455" s="22" t="s">
        <v>1375</v>
      </c>
      <c r="B455" s="22">
        <v>2026</v>
      </c>
      <c r="C455" s="22">
        <v>2</v>
      </c>
      <c r="D455" s="22">
        <v>35</v>
      </c>
      <c r="E455" s="22">
        <v>4</v>
      </c>
    </row>
    <row r="456" spans="1:5" x14ac:dyDescent="0.3">
      <c r="A456" s="22" t="s">
        <v>1378</v>
      </c>
      <c r="B456" s="22">
        <v>2026</v>
      </c>
      <c r="C456" s="22">
        <v>3</v>
      </c>
      <c r="D456" s="22">
        <v>1</v>
      </c>
      <c r="E456" s="22">
        <v>1</v>
      </c>
    </row>
    <row r="457" spans="1:5" x14ac:dyDescent="0.3">
      <c r="A457" s="22" t="s">
        <v>1381</v>
      </c>
      <c r="B457" s="22">
        <v>2026</v>
      </c>
      <c r="C457" s="22">
        <v>4</v>
      </c>
      <c r="D457" s="22">
        <v>17</v>
      </c>
      <c r="E457" s="22">
        <v>5</v>
      </c>
    </row>
    <row r="458" spans="1:5" x14ac:dyDescent="0.3">
      <c r="A458" s="22" t="s">
        <v>1384</v>
      </c>
      <c r="B458" s="22">
        <v>2026</v>
      </c>
      <c r="C458" s="22">
        <v>1</v>
      </c>
      <c r="D458" s="22">
        <v>47</v>
      </c>
      <c r="E458" s="22">
        <v>7</v>
      </c>
    </row>
    <row r="459" spans="1:5" x14ac:dyDescent="0.3">
      <c r="A459" s="22" t="s">
        <v>1387</v>
      </c>
      <c r="B459" s="22">
        <v>2026</v>
      </c>
      <c r="C459" s="22">
        <v>4</v>
      </c>
      <c r="D459" s="22">
        <v>18</v>
      </c>
      <c r="E459" s="22">
        <v>3</v>
      </c>
    </row>
    <row r="460" spans="1:5" x14ac:dyDescent="0.3">
      <c r="A460" s="22" t="s">
        <v>1390</v>
      </c>
      <c r="B460" s="22">
        <v>2026</v>
      </c>
      <c r="C460" s="22">
        <v>3</v>
      </c>
      <c r="D460" s="22">
        <v>21</v>
      </c>
      <c r="E460" s="22">
        <v>12</v>
      </c>
    </row>
    <row r="461" spans="1:5" x14ac:dyDescent="0.3">
      <c r="A461" s="22" t="s">
        <v>1393</v>
      </c>
      <c r="B461" s="22">
        <v>2026</v>
      </c>
      <c r="C461" s="22">
        <v>1</v>
      </c>
      <c r="D461" s="22">
        <v>41</v>
      </c>
      <c r="E461" s="22">
        <v>5</v>
      </c>
    </row>
    <row r="462" spans="1:5" x14ac:dyDescent="0.3">
      <c r="A462" s="22" t="s">
        <v>1395</v>
      </c>
      <c r="B462" s="22">
        <v>2026</v>
      </c>
      <c r="C462" s="22">
        <v>2</v>
      </c>
      <c r="D462" s="22">
        <v>29</v>
      </c>
      <c r="E462" s="22">
        <v>0</v>
      </c>
    </row>
    <row r="463" spans="1:5" x14ac:dyDescent="0.3">
      <c r="A463" s="22" t="s">
        <v>1398</v>
      </c>
      <c r="B463" s="22">
        <v>2026</v>
      </c>
      <c r="C463" s="22">
        <v>2</v>
      </c>
      <c r="D463" s="22">
        <v>21</v>
      </c>
      <c r="E463" s="22">
        <v>0</v>
      </c>
    </row>
    <row r="464" spans="1:5" x14ac:dyDescent="0.3">
      <c r="A464" s="22" t="s">
        <v>1401</v>
      </c>
      <c r="B464" s="22">
        <v>2026</v>
      </c>
      <c r="C464" s="22">
        <v>1</v>
      </c>
      <c r="D464" s="22">
        <v>1</v>
      </c>
      <c r="E464" s="22">
        <v>5</v>
      </c>
    </row>
    <row r="465" spans="1:5" x14ac:dyDescent="0.3">
      <c r="A465" s="22" t="s">
        <v>1404</v>
      </c>
      <c r="B465" s="22">
        <v>2026</v>
      </c>
      <c r="C465" s="22">
        <v>4</v>
      </c>
      <c r="D465" s="22">
        <v>30</v>
      </c>
      <c r="E465" s="22">
        <v>9</v>
      </c>
    </row>
    <row r="466" spans="1:5" x14ac:dyDescent="0.3">
      <c r="A466" s="22" t="s">
        <v>1407</v>
      </c>
      <c r="B466" s="22">
        <v>2026</v>
      </c>
      <c r="C466" s="22">
        <v>3</v>
      </c>
      <c r="D466" s="22">
        <v>35</v>
      </c>
      <c r="E466" s="22">
        <v>9</v>
      </c>
    </row>
    <row r="467" spans="1:5" x14ac:dyDescent="0.3">
      <c r="A467" s="22" t="s">
        <v>1410</v>
      </c>
      <c r="B467" s="22">
        <v>2026</v>
      </c>
      <c r="C467" s="22">
        <v>1</v>
      </c>
      <c r="D467" s="22">
        <v>25</v>
      </c>
      <c r="E467" s="22">
        <v>5</v>
      </c>
    </row>
    <row r="468" spans="1:5" x14ac:dyDescent="0.3">
      <c r="A468" s="22" t="s">
        <v>1413</v>
      </c>
      <c r="B468" s="22">
        <v>2026</v>
      </c>
      <c r="C468" s="22">
        <v>2</v>
      </c>
      <c r="D468" s="22">
        <v>44</v>
      </c>
      <c r="E468" s="22">
        <v>2</v>
      </c>
    </row>
    <row r="469" spans="1:5" x14ac:dyDescent="0.3">
      <c r="A469" s="22" t="s">
        <v>1416</v>
      </c>
      <c r="B469" s="22">
        <v>2026</v>
      </c>
      <c r="C469" s="22">
        <v>2</v>
      </c>
      <c r="D469" s="22">
        <v>38</v>
      </c>
      <c r="E469" s="22">
        <v>11</v>
      </c>
    </row>
    <row r="470" spans="1:5" x14ac:dyDescent="0.3">
      <c r="A470" s="22" t="s">
        <v>1419</v>
      </c>
      <c r="B470" s="22">
        <v>2026</v>
      </c>
      <c r="C470" s="22">
        <v>4</v>
      </c>
      <c r="D470" s="22">
        <v>56</v>
      </c>
      <c r="E470" s="22">
        <v>6</v>
      </c>
    </row>
    <row r="471" spans="1:5" x14ac:dyDescent="0.3">
      <c r="A471" s="22" t="s">
        <v>1422</v>
      </c>
      <c r="B471" s="22">
        <v>2026</v>
      </c>
      <c r="C471" s="22">
        <v>1</v>
      </c>
      <c r="D471" s="22">
        <v>20</v>
      </c>
      <c r="E471" s="22">
        <v>4</v>
      </c>
    </row>
    <row r="472" spans="1:5" x14ac:dyDescent="0.3">
      <c r="A472" s="22" t="s">
        <v>1425</v>
      </c>
      <c r="B472" s="22">
        <v>2026</v>
      </c>
      <c r="C472" s="22">
        <v>4</v>
      </c>
      <c r="D472" s="22">
        <v>28</v>
      </c>
      <c r="E472" s="22">
        <v>4</v>
      </c>
    </row>
    <row r="473" spans="1:5" x14ac:dyDescent="0.3">
      <c r="A473" s="22" t="s">
        <v>1427</v>
      </c>
      <c r="B473" s="22">
        <v>2026</v>
      </c>
      <c r="C473" s="22">
        <v>4</v>
      </c>
      <c r="D473" s="22">
        <v>30</v>
      </c>
      <c r="E473" s="22">
        <v>5</v>
      </c>
    </row>
    <row r="474" spans="1:5" x14ac:dyDescent="0.3">
      <c r="A474" s="22" t="s">
        <v>1430</v>
      </c>
      <c r="B474" s="22">
        <v>2026</v>
      </c>
      <c r="C474" s="22">
        <v>5</v>
      </c>
      <c r="D474" s="22">
        <v>47</v>
      </c>
      <c r="E474" s="22">
        <v>4</v>
      </c>
    </row>
    <row r="475" spans="1:5" x14ac:dyDescent="0.3">
      <c r="A475" s="22" t="s">
        <v>1432</v>
      </c>
      <c r="B475" s="22">
        <v>2026</v>
      </c>
      <c r="C475" s="22">
        <v>4</v>
      </c>
      <c r="D475" s="22">
        <v>32</v>
      </c>
      <c r="E475" s="22">
        <v>8</v>
      </c>
    </row>
    <row r="476" spans="1:5" x14ac:dyDescent="0.3">
      <c r="A476" s="22" t="s">
        <v>1435</v>
      </c>
      <c r="B476" s="22">
        <v>2026</v>
      </c>
      <c r="C476" s="22">
        <v>4</v>
      </c>
      <c r="D476" s="22">
        <v>25</v>
      </c>
      <c r="E476" s="22">
        <v>1</v>
      </c>
    </row>
    <row r="477" spans="1:5" x14ac:dyDescent="0.3">
      <c r="A477" s="22" t="s">
        <v>1437</v>
      </c>
      <c r="B477" s="22">
        <v>2026</v>
      </c>
      <c r="C477" s="22">
        <v>5</v>
      </c>
      <c r="D477" s="22">
        <v>20</v>
      </c>
      <c r="E477" s="22">
        <v>3</v>
      </c>
    </row>
    <row r="478" spans="1:5" x14ac:dyDescent="0.3">
      <c r="A478" s="22" t="s">
        <v>1440</v>
      </c>
      <c r="B478" s="22">
        <v>2026</v>
      </c>
      <c r="C478" s="22">
        <v>3</v>
      </c>
      <c r="D478" s="22">
        <v>50</v>
      </c>
      <c r="E478" s="22">
        <v>11</v>
      </c>
    </row>
    <row r="479" spans="1:5" x14ac:dyDescent="0.3">
      <c r="A479" s="22" t="s">
        <v>1443</v>
      </c>
      <c r="B479" s="22">
        <v>2026</v>
      </c>
      <c r="C479" s="22">
        <v>3</v>
      </c>
      <c r="D479" s="22">
        <v>17</v>
      </c>
      <c r="E479" s="22">
        <v>0</v>
      </c>
    </row>
    <row r="480" spans="1:5" x14ac:dyDescent="0.3">
      <c r="A480" s="22" t="s">
        <v>1445</v>
      </c>
      <c r="B480" s="22">
        <v>2026</v>
      </c>
      <c r="C480" s="22">
        <v>3</v>
      </c>
      <c r="D480" s="22">
        <v>28</v>
      </c>
      <c r="E480" s="22">
        <v>9</v>
      </c>
    </row>
    <row r="481" spans="1:5" x14ac:dyDescent="0.3">
      <c r="A481" s="22" t="s">
        <v>1448</v>
      </c>
      <c r="B481" s="22">
        <v>2026</v>
      </c>
      <c r="C481" s="22">
        <v>2</v>
      </c>
      <c r="D481" s="22">
        <v>19</v>
      </c>
      <c r="E481" s="22">
        <v>10</v>
      </c>
    </row>
    <row r="482" spans="1:5" x14ac:dyDescent="0.3">
      <c r="A482" s="22" t="s">
        <v>1451</v>
      </c>
      <c r="B482" s="22">
        <v>2026</v>
      </c>
      <c r="C482" s="22">
        <v>5</v>
      </c>
      <c r="D482" s="22">
        <v>1</v>
      </c>
      <c r="E482" s="22">
        <v>3</v>
      </c>
    </row>
    <row r="483" spans="1:5" x14ac:dyDescent="0.3">
      <c r="A483" s="22" t="s">
        <v>1454</v>
      </c>
      <c r="B483" s="22">
        <v>2026</v>
      </c>
      <c r="C483" s="22">
        <v>3</v>
      </c>
      <c r="D483" s="22">
        <v>16</v>
      </c>
      <c r="E483" s="22">
        <v>2</v>
      </c>
    </row>
    <row r="484" spans="1:5" x14ac:dyDescent="0.3">
      <c r="A484" s="22" t="s">
        <v>1457</v>
      </c>
      <c r="B484" s="22">
        <v>2026</v>
      </c>
      <c r="C484" s="22">
        <v>3</v>
      </c>
      <c r="D484" s="22">
        <v>32</v>
      </c>
      <c r="E484" s="22">
        <v>6</v>
      </c>
    </row>
    <row r="485" spans="1:5" x14ac:dyDescent="0.3">
      <c r="A485" s="22" t="s">
        <v>1460</v>
      </c>
      <c r="B485" s="22">
        <v>2026</v>
      </c>
      <c r="C485" s="22">
        <v>2</v>
      </c>
      <c r="D485" s="22">
        <v>52</v>
      </c>
      <c r="E485" s="22">
        <v>2</v>
      </c>
    </row>
    <row r="486" spans="1:5" x14ac:dyDescent="0.3">
      <c r="A486" s="22" t="s">
        <v>1463</v>
      </c>
      <c r="B486" s="22">
        <v>2026</v>
      </c>
      <c r="C486" s="22">
        <v>4</v>
      </c>
      <c r="D486" s="22">
        <v>14</v>
      </c>
      <c r="E486" s="22">
        <v>4</v>
      </c>
    </row>
    <row r="487" spans="1:5" x14ac:dyDescent="0.3">
      <c r="A487" s="22" t="s">
        <v>1466</v>
      </c>
      <c r="B487" s="22">
        <v>2026</v>
      </c>
      <c r="C487" s="22">
        <v>4</v>
      </c>
      <c r="D487" s="22">
        <v>15</v>
      </c>
      <c r="E487" s="22">
        <v>6</v>
      </c>
    </row>
    <row r="488" spans="1:5" x14ac:dyDescent="0.3">
      <c r="A488" s="22" t="s">
        <v>1469</v>
      </c>
      <c r="B488" s="22">
        <v>2026</v>
      </c>
      <c r="C488" s="22">
        <v>2</v>
      </c>
      <c r="D488" s="22">
        <v>45</v>
      </c>
      <c r="E488" s="22">
        <v>8</v>
      </c>
    </row>
    <row r="489" spans="1:5" x14ac:dyDescent="0.3">
      <c r="A489" s="22" t="s">
        <v>1472</v>
      </c>
      <c r="B489" s="22">
        <v>2026</v>
      </c>
      <c r="C489" s="22">
        <v>1</v>
      </c>
      <c r="D489" s="22">
        <v>30</v>
      </c>
      <c r="E489" s="22">
        <v>3</v>
      </c>
    </row>
    <row r="490" spans="1:5" x14ac:dyDescent="0.3">
      <c r="A490" s="22" t="s">
        <v>1475</v>
      </c>
      <c r="B490" s="22">
        <v>2026</v>
      </c>
      <c r="C490" s="22">
        <v>5</v>
      </c>
      <c r="D490" s="22">
        <v>1</v>
      </c>
      <c r="E490" s="22">
        <v>2</v>
      </c>
    </row>
    <row r="491" spans="1:5" x14ac:dyDescent="0.3">
      <c r="A491" s="22" t="s">
        <v>1477</v>
      </c>
      <c r="B491" s="22">
        <v>2026</v>
      </c>
      <c r="C491" s="22">
        <v>2</v>
      </c>
      <c r="D491" s="22">
        <v>54</v>
      </c>
      <c r="E491" s="22">
        <v>11</v>
      </c>
    </row>
    <row r="492" spans="1:5" x14ac:dyDescent="0.3">
      <c r="A492" s="22" t="s">
        <v>1480</v>
      </c>
      <c r="B492" s="22">
        <v>2026</v>
      </c>
      <c r="C492" s="22">
        <v>4</v>
      </c>
      <c r="D492" s="22">
        <v>9</v>
      </c>
      <c r="E492" s="22">
        <v>6</v>
      </c>
    </row>
    <row r="493" spans="1:5" x14ac:dyDescent="0.3">
      <c r="A493" s="22" t="s">
        <v>1482</v>
      </c>
      <c r="B493" s="22">
        <v>2026</v>
      </c>
      <c r="C493" s="22">
        <v>5</v>
      </c>
      <c r="D493" s="22">
        <v>33</v>
      </c>
      <c r="E493" s="22">
        <v>7</v>
      </c>
    </row>
    <row r="494" spans="1:5" x14ac:dyDescent="0.3">
      <c r="A494" s="22" t="s">
        <v>1485</v>
      </c>
      <c r="B494" s="22">
        <v>2026</v>
      </c>
      <c r="C494" s="22">
        <v>1</v>
      </c>
      <c r="D494" s="22">
        <v>18</v>
      </c>
      <c r="E494" s="22">
        <v>12</v>
      </c>
    </row>
    <row r="495" spans="1:5" x14ac:dyDescent="0.3">
      <c r="A495" s="22" t="s">
        <v>1487</v>
      </c>
      <c r="B495" s="22">
        <v>2026</v>
      </c>
      <c r="C495" s="22">
        <v>5</v>
      </c>
      <c r="D495" s="22">
        <v>53</v>
      </c>
      <c r="E495" s="22">
        <v>2</v>
      </c>
    </row>
    <row r="496" spans="1:5" x14ac:dyDescent="0.3">
      <c r="A496" s="22" t="s">
        <v>1490</v>
      </c>
      <c r="B496" s="22">
        <v>2026</v>
      </c>
      <c r="C496" s="22">
        <v>4</v>
      </c>
      <c r="D496" s="22">
        <v>12</v>
      </c>
      <c r="E496" s="22">
        <v>0</v>
      </c>
    </row>
    <row r="497" spans="1:5" x14ac:dyDescent="0.3">
      <c r="A497" s="22" t="s">
        <v>1493</v>
      </c>
      <c r="B497" s="22">
        <v>2026</v>
      </c>
      <c r="C497" s="22">
        <v>1</v>
      </c>
      <c r="D497" s="22">
        <v>54</v>
      </c>
      <c r="E497" s="22">
        <v>0</v>
      </c>
    </row>
    <row r="498" spans="1:5" x14ac:dyDescent="0.3">
      <c r="A498" s="22" t="s">
        <v>1496</v>
      </c>
      <c r="B498" s="22">
        <v>2026</v>
      </c>
      <c r="C498" s="22">
        <v>2</v>
      </c>
      <c r="D498" s="22">
        <v>28</v>
      </c>
      <c r="E498" s="22">
        <v>11</v>
      </c>
    </row>
    <row r="499" spans="1:5" x14ac:dyDescent="0.3">
      <c r="A499" s="22" t="s">
        <v>1499</v>
      </c>
      <c r="B499" s="22">
        <v>2026</v>
      </c>
      <c r="C499" s="22">
        <v>2</v>
      </c>
      <c r="D499" s="22">
        <v>36</v>
      </c>
      <c r="E499" s="22">
        <v>2</v>
      </c>
    </row>
    <row r="500" spans="1:5" x14ac:dyDescent="0.3">
      <c r="A500" s="22" t="s">
        <v>1502</v>
      </c>
      <c r="B500" s="22">
        <v>2026</v>
      </c>
      <c r="C500" s="22">
        <v>3</v>
      </c>
      <c r="D500" s="22">
        <v>4</v>
      </c>
      <c r="E500" s="22">
        <v>2</v>
      </c>
    </row>
    <row r="501" spans="1:5" x14ac:dyDescent="0.3">
      <c r="A501" s="22" t="s">
        <v>1505</v>
      </c>
      <c r="B501" s="22">
        <v>2026</v>
      </c>
      <c r="C501" s="22">
        <v>3</v>
      </c>
      <c r="D501" s="22">
        <v>47</v>
      </c>
      <c r="E501" s="22">
        <v>8</v>
      </c>
    </row>
  </sheetData>
  <dataValidations count="1">
    <dataValidation type="list" allowBlank="1" showInputMessage="1" showErrorMessage="1" sqref="I4" xr:uid="{A5F3CC4D-6B71-4481-93DC-9CCC36019BE4}">
      <formula1>"1,2,3,4,5,6,7,8,9,10"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Rupak Sarkar</cp:lastModifiedBy>
  <dcterms:created xsi:type="dcterms:W3CDTF">2026-10-22T14:45:30Z</dcterms:created>
  <dcterms:modified xsi:type="dcterms:W3CDTF">2026-10-22T15:00:39Z</dcterms:modified>
</cp:coreProperties>
</file>