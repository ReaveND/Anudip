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Labwork\"/>
    </mc:Choice>
  </mc:AlternateContent>
  <xr:revisionPtr revIDLastSave="0" documentId="13_ncr:1_{E509BF46-E6C0-416D-86AC-DB5519A65D08}" xr6:coauthVersionLast="47" xr6:coauthVersionMax="47" xr10:uidLastSave="{00000000-0000-0000-0000-000000000000}"/>
  <bookViews>
    <workbookView xWindow="-108" yWindow="-108" windowWidth="23256" windowHeight="12456" activeTab="1" xr2:uid="{24B87D5A-143B-4785-92EA-24C69202164B}"/>
  </bookViews>
  <sheets>
    <sheet name="Products" sheetId="1" r:id="rId1"/>
    <sheet name="Ord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C2" i="2"/>
  <c r="C3" i="2"/>
  <c r="C4" i="2"/>
  <c r="C5" i="2"/>
  <c r="C6" i="2"/>
  <c r="C7" i="2"/>
  <c r="C8" i="2"/>
  <c r="C13" i="2"/>
  <c r="C14" i="2"/>
  <c r="C15" i="2"/>
  <c r="C16" i="2"/>
  <c r="C17" i="2"/>
  <c r="C18" i="2"/>
  <c r="C12" i="2"/>
  <c r="D3" i="1"/>
  <c r="D4" i="1"/>
  <c r="D5" i="1"/>
  <c r="D6" i="1"/>
  <c r="D7" i="1"/>
  <c r="D8" i="1"/>
  <c r="D2" i="1"/>
  <c r="G2" i="2" l="1"/>
  <c r="F2" i="2"/>
  <c r="G3" i="2"/>
  <c r="F3" i="2"/>
  <c r="I12" i="2"/>
  <c r="I13" i="2"/>
  <c r="I14" i="2"/>
  <c r="I15" i="2"/>
  <c r="I16" i="2"/>
  <c r="I17" i="2"/>
  <c r="F4" i="2"/>
  <c r="G4" i="2"/>
  <c r="F5" i="2"/>
  <c r="G5" i="2"/>
  <c r="F6" i="2"/>
  <c r="G6" i="2"/>
  <c r="F7" i="2"/>
  <c r="G7" i="2"/>
  <c r="F8" i="2"/>
  <c r="G8" i="2"/>
  <c r="J13" i="2" l="1"/>
  <c r="J14" i="2"/>
  <c r="J16" i="2"/>
  <c r="J17" i="2"/>
  <c r="J12" i="2"/>
  <c r="J15" i="2"/>
  <c r="L12" i="2" l="1"/>
</calcChain>
</file>

<file path=xl/sharedStrings.xml><?xml version="1.0" encoding="utf-8"?>
<sst xmlns="http://schemas.openxmlformats.org/spreadsheetml/2006/main" count="37" uniqueCount="28">
  <si>
    <t xml:space="preserve">ProductID  </t>
  </si>
  <si>
    <t>Price</t>
  </si>
  <si>
    <t>Product</t>
  </si>
  <si>
    <t>Product A</t>
  </si>
  <si>
    <t>Product B</t>
  </si>
  <si>
    <t>Product C</t>
  </si>
  <si>
    <t>Product D</t>
  </si>
  <si>
    <t>Product E</t>
  </si>
  <si>
    <t>Product F</t>
  </si>
  <si>
    <t xml:space="preserve">1. Use VLOOKUP to find the product names for each ProductID in the Orders worksheet. </t>
  </si>
  <si>
    <t xml:space="preserve">2. Use VLOOKUP to find the price for each ProductID in the Orders worksheet, then calculate the TotalPrice by multiplying the Quantity by the Product Price. </t>
  </si>
  <si>
    <t xml:space="preserve">3. Use VLOOKUP to check if there are any ProductIDs in the Orders worksheet that do not exist in the Products worksheet. </t>
  </si>
  <si>
    <t xml:space="preserve">4. Assume a discount of 10% is given on all products. Use VLOOKUP to find the original price and then calculate the discounted price. </t>
  </si>
  <si>
    <t xml:space="preserve">5. Use VLOOKUP to find the price for each ProductID and then calculate the order value. Find the maximum order value from the list. </t>
  </si>
  <si>
    <t xml:space="preserve">6. Use VLOOKUP to find out which products from the Products worksheet have not been ordered. </t>
  </si>
  <si>
    <t xml:space="preserve">7. Use VLOOKUP to find the Product name and summarize the total quantity sold for each product. </t>
  </si>
  <si>
    <t>OrderID</t>
  </si>
  <si>
    <t>ProductID</t>
  </si>
  <si>
    <t>Quantity</t>
  </si>
  <si>
    <t>TotalPrice</t>
  </si>
  <si>
    <t>Status</t>
  </si>
  <si>
    <t>Discount</t>
  </si>
  <si>
    <t>Product G</t>
  </si>
  <si>
    <t>Ordered/Not Ordered</t>
  </si>
  <si>
    <t>Total Quantity</t>
  </si>
  <si>
    <t>Product Name</t>
  </si>
  <si>
    <t>Total Price for Each Product</t>
  </si>
  <si>
    <t>Max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</si>
</sst>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9FFCC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1" fillId="3" borderId="4" xfId="0" applyFont="1" applyFill="1" applyBorder="1"/>
    <xf numFmtId="0" fontId="1" fillId="3" borderId="5" xfId="0" applyFont="1" applyFill="1" applyBorder="1"/>
    <xf numFmtId="0" fontId="0" fillId="0" borderId="7" xfId="0" applyBorder="1"/>
    <xf numFmtId="0" fontId="0" fillId="0" borderId="8" xfId="0" applyBorder="1"/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/>
    <xf numFmtId="0" fontId="1" fillId="4" borderId="6" xfId="0" applyFont="1" applyFill="1" applyBorder="1"/>
    <xf numFmtId="0" fontId="0" fillId="4" borderId="3" xfId="0" applyFill="1" applyBorder="1"/>
    <xf numFmtId="0" fontId="0" fillId="4" borderId="9" xfId="0" applyFill="1" applyBorder="1"/>
    <xf numFmtId="0" fontId="1" fillId="5" borderId="0" xfId="0" applyFont="1" applyFill="1"/>
    <xf numFmtId="0" fontId="1" fillId="5" borderId="5" xfId="0" applyFont="1" applyFill="1" applyBorder="1"/>
    <xf numFmtId="0" fontId="0" fillId="5" borderId="5" xfId="0" applyFill="1" applyBorder="1"/>
    <xf numFmtId="0" fontId="0" fillId="5" borderId="1" xfId="0" applyFill="1" applyBorder="1"/>
    <xf numFmtId="0" fontId="0" fillId="5" borderId="8" xfId="0" applyFill="1" applyBorder="1"/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0" fillId="6" borderId="1" xfId="0" applyFill="1" applyBorder="1"/>
    <xf numFmtId="0" fontId="1" fillId="6" borderId="0" xfId="0" applyFont="1" applyFill="1"/>
    <xf numFmtId="0" fontId="0" fillId="0" borderId="0" xfId="0" applyBorder="1"/>
    <xf numFmtId="0" fontId="1" fillId="7" borderId="0" xfId="0" applyFont="1" applyFill="1"/>
    <xf numFmtId="0" fontId="1" fillId="7" borderId="5" xfId="0" applyFont="1" applyFill="1" applyBorder="1"/>
    <xf numFmtId="0" fontId="0" fillId="7" borderId="5" xfId="0" applyFill="1" applyBorder="1"/>
    <xf numFmtId="0" fontId="0" fillId="7" borderId="1" xfId="0" applyFill="1" applyBorder="1"/>
    <xf numFmtId="0" fontId="0" fillId="7" borderId="8" xfId="0" applyFill="1" applyBorder="1"/>
    <xf numFmtId="0" fontId="1" fillId="8" borderId="0" xfId="0" applyFont="1" applyFill="1"/>
    <xf numFmtId="0" fontId="0" fillId="8" borderId="1" xfId="0" applyFill="1" applyBorder="1"/>
    <xf numFmtId="0" fontId="1" fillId="8" borderId="1" xfId="0" applyFont="1" applyFill="1" applyBorder="1"/>
    <xf numFmtId="0" fontId="1" fillId="9" borderId="0" xfId="0" applyFont="1" applyFill="1"/>
    <xf numFmtId="0" fontId="1" fillId="9" borderId="10" xfId="0" applyFont="1" applyFill="1" applyBorder="1" applyAlignment="1">
      <alignment horizontal="center" vertical="center"/>
    </xf>
    <xf numFmtId="0" fontId="0" fillId="9" borderId="3" xfId="0" applyFill="1" applyBorder="1"/>
    <xf numFmtId="0" fontId="0" fillId="9" borderId="9" xfId="0" applyFill="1" applyBorder="1"/>
    <xf numFmtId="0" fontId="1" fillId="10" borderId="0" xfId="0" applyFont="1" applyFill="1"/>
    <xf numFmtId="0" fontId="1" fillId="10" borderId="1" xfId="0" applyFont="1" applyFill="1" applyBorder="1"/>
    <xf numFmtId="0" fontId="0" fillId="10" borderId="1" xfId="0" applyFill="1" applyBorder="1"/>
    <xf numFmtId="0" fontId="1" fillId="0" borderId="0" xfId="0" applyFont="1" applyBorder="1"/>
  </cellXfs>
  <cellStyles count="1">
    <cellStyle name="Normal" xfId="0" builtinId="0"/>
  </cellStyles>
  <dxfs count="17">
    <dxf>
      <fill>
        <patternFill>
          <fgColor indexed="64"/>
          <bgColor rgb="FFFF99FF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8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>
          <fgColor indexed="64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99FFCC"/>
      <color rgb="FFFF0066"/>
      <color rgb="FF9999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6DAD2D-B3E3-4698-9CF1-ADB84FBACBA9}" name="Table2" displayName="Table2" ref="A1:D8" totalsRowShown="0" headerRowDxfId="10" tableBorderDxfId="9">
  <autoFilter ref="A1:D8" xr:uid="{706DAD2D-B3E3-4698-9CF1-ADB84FBACBA9}"/>
  <tableColumns count="4">
    <tableColumn id="1" xr3:uid="{1AD3B943-7187-42CF-A0DF-FABA582A5B48}" name="ProductID  " dataDxfId="8"/>
    <tableColumn id="2" xr3:uid="{0DCC353D-E168-4FF8-9361-95EC45540BFC}" name="Product" dataDxfId="7"/>
    <tableColumn id="3" xr3:uid="{B8812864-7E04-46BA-B8A7-0E681F1897A7}" name="Price" dataDxfId="1"/>
    <tableColumn id="4" xr3:uid="{1AFC9E3F-5EE7-4C66-AF0F-C187D7C8A743}" name="Ordered/Not Ordered" dataDxfId="0">
      <calculatedColumnFormula>IF(ISNA(VLOOKUP(A2,Orders!$B$2:$B$7,1,0)),"Not Ordered", "Ordered")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A202BB-27FB-4337-A733-140872FDE9B9}" name="Table1" displayName="Table1" ref="A1:G8" totalsRowShown="0" headerRowDxfId="16" headerRowBorderDxfId="15" tableBorderDxfId="14" totalsRowBorderDxfId="13">
  <autoFilter ref="A1:G8" xr:uid="{B5A202BB-27FB-4337-A733-140872FDE9B9}"/>
  <tableColumns count="7">
    <tableColumn id="1" xr3:uid="{80738127-C1A5-409B-BD68-2FC7E25C7C7B}" name="OrderID" dataDxfId="12"/>
    <tableColumn id="2" xr3:uid="{00F3DE2F-B976-4F81-BD24-AE2ABCC76EEE}" name="ProductID" dataDxfId="11"/>
    <tableColumn id="5" xr3:uid="{DA810553-26B5-4B74-89D1-ADFF8D20E2BB}" name="Product Name" dataDxfId="4">
      <calculatedColumnFormula>IFERROR(VLOOKUP(B2,Products!$A$1:$B$8,2,0), "Product does not Exist!")</calculatedColumnFormula>
    </tableColumn>
    <tableColumn id="3" xr3:uid="{29C3C829-040C-4ED7-8623-6A1B57BF6D43}" name="Quantity" dataDxfId="6"/>
    <tableColumn id="7" xr3:uid="{0201B8AF-29B3-481B-A0EE-9E5D3AE05CF2}" name="Price" dataDxfId="5">
      <calculatedColumnFormula>VLOOKUP(Table1[[#This Row],[ProductID]],Products!$A$1:$C$7,3,0)</calculatedColumnFormula>
    </tableColumn>
    <tableColumn id="4" xr3:uid="{B6811E61-ADCC-4972-A302-83923E66C32D}" name="TotalPrice" dataDxfId="3">
      <calculatedColumnFormula>PRODUCT(D2,Table1[[#This Row],[Price]])</calculatedColumnFormula>
    </tableColumn>
    <tableColumn id="10" xr3:uid="{C537D4EC-37EE-4C0D-9A8F-2AEE8FA57D71}" name="Discount" dataDxfId="2">
      <calculatedColumnFormula>Table1[[#This Row],[Price]]*90%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E3C48-0F1E-472B-BD22-F33C21B02D45}">
  <dimension ref="A1:O16"/>
  <sheetViews>
    <sheetView workbookViewId="0">
      <selection activeCell="E23" sqref="E23"/>
    </sheetView>
  </sheetViews>
  <sheetFormatPr defaultRowHeight="14.4" x14ac:dyDescent="0.3"/>
  <cols>
    <col min="1" max="1" width="12.21875" customWidth="1"/>
    <col min="2" max="2" width="9.5546875" customWidth="1"/>
    <col min="4" max="4" width="21.109375" customWidth="1"/>
    <col min="6" max="6" width="13.6640625" bestFit="1" customWidth="1"/>
  </cols>
  <sheetData>
    <row r="1" spans="1:15" x14ac:dyDescent="0.3">
      <c r="A1" s="13" t="s">
        <v>0</v>
      </c>
      <c r="B1" s="3" t="s">
        <v>2</v>
      </c>
      <c r="C1" s="3" t="s">
        <v>1</v>
      </c>
      <c r="D1" s="41" t="s">
        <v>23</v>
      </c>
    </row>
    <row r="2" spans="1:15" x14ac:dyDescent="0.3">
      <c r="A2" s="14">
        <v>101</v>
      </c>
      <c r="B2" s="4" t="s">
        <v>3</v>
      </c>
      <c r="C2" s="4">
        <v>120</v>
      </c>
      <c r="D2" s="42" t="str">
        <f>IF(ISNA(VLOOKUP(A2,Orders!$B$2:$B$7,1,0)),"Not Ordered", "Ordered")</f>
        <v>Ordered</v>
      </c>
    </row>
    <row r="3" spans="1:15" x14ac:dyDescent="0.3">
      <c r="A3" s="14">
        <v>102</v>
      </c>
      <c r="B3" s="4" t="s">
        <v>4</v>
      </c>
      <c r="C3" s="4">
        <v>150</v>
      </c>
      <c r="D3" s="42" t="str">
        <f>IF(ISNA(VLOOKUP(A3,Orders!$B$2:$B$7,1,0)),"Not Ordered", "Ordered")</f>
        <v>Ordered</v>
      </c>
    </row>
    <row r="4" spans="1:15" x14ac:dyDescent="0.3">
      <c r="A4" s="14">
        <v>103</v>
      </c>
      <c r="B4" s="4" t="s">
        <v>5</v>
      </c>
      <c r="C4" s="4">
        <v>200</v>
      </c>
      <c r="D4" s="42" t="str">
        <f>IF(ISNA(VLOOKUP(A4,Orders!$B$2:$B$7,1,0)),"Not Ordered", "Ordered")</f>
        <v>Ordered</v>
      </c>
    </row>
    <row r="5" spans="1:15" x14ac:dyDescent="0.3">
      <c r="A5" s="14">
        <v>104</v>
      </c>
      <c r="B5" s="4" t="s">
        <v>6</v>
      </c>
      <c r="C5" s="4">
        <v>90</v>
      </c>
      <c r="D5" s="42" t="str">
        <f>IF(ISNA(VLOOKUP(A5,Orders!$B$2:$B$7,1,0)),"Not Ordered", "Ordered")</f>
        <v>Ordered</v>
      </c>
    </row>
    <row r="6" spans="1:15" x14ac:dyDescent="0.3">
      <c r="A6" s="14">
        <v>105</v>
      </c>
      <c r="B6" s="4" t="s">
        <v>7</v>
      </c>
      <c r="C6" s="4">
        <v>220</v>
      </c>
      <c r="D6" s="42" t="str">
        <f>IF(ISNA(VLOOKUP(A6,Orders!$B$2:$B$7,1,0)),"Not Ordered", "Ordered")</f>
        <v>Ordered</v>
      </c>
    </row>
    <row r="7" spans="1:15" x14ac:dyDescent="0.3">
      <c r="A7" s="14">
        <v>106</v>
      </c>
      <c r="B7" s="4" t="s">
        <v>8</v>
      </c>
      <c r="C7" s="4">
        <v>130</v>
      </c>
      <c r="D7" s="42" t="str">
        <f>IF(ISNA(VLOOKUP(A7,Orders!$B$2:$B$7,1,0)),"Not Ordered", "Ordered")</f>
        <v>Ordered</v>
      </c>
    </row>
    <row r="8" spans="1:15" x14ac:dyDescent="0.3">
      <c r="A8" s="15">
        <v>107</v>
      </c>
      <c r="B8" s="16" t="s">
        <v>22</v>
      </c>
      <c r="C8" s="16">
        <v>140</v>
      </c>
      <c r="D8" s="43" t="str">
        <f>IF(ISNA(VLOOKUP(A8,Orders!$B$2:$B$7,1,0)),"Not Ordered", "Ordered")</f>
        <v>Not Ordered</v>
      </c>
    </row>
    <row r="10" spans="1:15" x14ac:dyDescent="0.3">
      <c r="A10" s="18" t="s">
        <v>9</v>
      </c>
      <c r="B10" s="18"/>
      <c r="C10" s="18"/>
      <c r="D10" s="18"/>
      <c r="E10" s="18"/>
      <c r="F10" s="18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">
      <c r="A11" s="22" t="s">
        <v>10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1"/>
      <c r="O11" s="1"/>
    </row>
    <row r="12" spans="1:15" x14ac:dyDescent="0.3">
      <c r="A12" s="30" t="s">
        <v>11</v>
      </c>
      <c r="B12" s="30"/>
      <c r="C12" s="30"/>
      <c r="D12" s="30"/>
      <c r="E12" s="30"/>
      <c r="F12" s="30"/>
      <c r="G12" s="30"/>
      <c r="H12" s="30"/>
      <c r="I12" s="30"/>
      <c r="J12" s="30"/>
      <c r="K12" s="1"/>
      <c r="L12" s="1"/>
      <c r="M12" s="1"/>
      <c r="N12" s="1"/>
      <c r="O12" s="1"/>
    </row>
    <row r="13" spans="1:15" x14ac:dyDescent="0.3">
      <c r="A13" s="32" t="s">
        <v>12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1"/>
      <c r="M13" s="1"/>
      <c r="N13" s="1"/>
      <c r="O13" s="1"/>
    </row>
    <row r="14" spans="1:15" x14ac:dyDescent="0.3">
      <c r="A14" s="44" t="s">
        <v>13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1"/>
      <c r="M14" s="1"/>
      <c r="N14" s="1"/>
      <c r="O14" s="1"/>
    </row>
    <row r="15" spans="1:15" x14ac:dyDescent="0.3">
      <c r="A15" s="40" t="s">
        <v>14</v>
      </c>
      <c r="B15" s="40"/>
      <c r="C15" s="40"/>
      <c r="D15" s="40"/>
      <c r="E15" s="40"/>
      <c r="F15" s="40"/>
      <c r="G15" s="40"/>
      <c r="H15" s="1"/>
      <c r="I15" s="1"/>
      <c r="J15" s="1"/>
      <c r="K15" s="1"/>
      <c r="L15" s="1"/>
      <c r="M15" s="1"/>
      <c r="N15" s="1"/>
      <c r="O15" s="1"/>
    </row>
    <row r="16" spans="1:15" x14ac:dyDescent="0.3">
      <c r="A16" s="37" t="s">
        <v>15</v>
      </c>
      <c r="B16" s="37"/>
      <c r="C16" s="37"/>
      <c r="D16" s="37"/>
      <c r="E16" s="37"/>
      <c r="F16" s="37"/>
      <c r="G16" s="37"/>
      <c r="H16" s="1"/>
      <c r="I16" s="1"/>
      <c r="J16" s="1"/>
      <c r="K16" s="1"/>
      <c r="L16" s="1"/>
      <c r="M16" s="1"/>
      <c r="N16" s="1"/>
      <c r="O16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CB96B-B3F3-4C25-9EEF-BA3C2DDDFED5}">
  <dimension ref="A1:N18"/>
  <sheetViews>
    <sheetView tabSelected="1" workbookViewId="0">
      <selection activeCell="J23" sqref="J23"/>
    </sheetView>
  </sheetViews>
  <sheetFormatPr defaultRowHeight="14.4" x14ac:dyDescent="0.3"/>
  <cols>
    <col min="1" max="1" width="9.44140625" customWidth="1"/>
    <col min="2" max="2" width="11.33203125" customWidth="1"/>
    <col min="3" max="3" width="15.44140625" bestFit="1" customWidth="1"/>
    <col min="4" max="4" width="11.21875" customWidth="1"/>
    <col min="5" max="5" width="7.33203125" bestFit="1" customWidth="1"/>
    <col min="6" max="6" width="12.44140625" bestFit="1" customWidth="1"/>
    <col min="7" max="7" width="10.5546875" bestFit="1" customWidth="1"/>
    <col min="8" max="8" width="19.5546875" bestFit="1" customWidth="1"/>
    <col min="9" max="9" width="13.21875" bestFit="1" customWidth="1"/>
    <col min="10" max="10" width="24.5546875" bestFit="1" customWidth="1"/>
    <col min="11" max="11" width="11.44140625" customWidth="1"/>
    <col min="12" max="13" width="15.21875" bestFit="1" customWidth="1"/>
    <col min="14" max="14" width="9.88671875" bestFit="1" customWidth="1"/>
    <col min="15" max="15" width="13.21875" bestFit="1" customWidth="1"/>
    <col min="16" max="16" width="13.109375" bestFit="1" customWidth="1"/>
    <col min="17" max="17" width="24.5546875" bestFit="1" customWidth="1"/>
    <col min="18" max="18" width="13.109375" bestFit="1" customWidth="1"/>
    <col min="19" max="19" width="24.5546875" bestFit="1" customWidth="1"/>
    <col min="21" max="21" width="9.5546875" bestFit="1" customWidth="1"/>
  </cols>
  <sheetData>
    <row r="1" spans="1:14" x14ac:dyDescent="0.3">
      <c r="A1" s="9" t="s">
        <v>16</v>
      </c>
      <c r="B1" s="10" t="s">
        <v>17</v>
      </c>
      <c r="C1" s="19" t="s">
        <v>25</v>
      </c>
      <c r="D1" s="10" t="s">
        <v>18</v>
      </c>
      <c r="E1" s="23" t="s">
        <v>1</v>
      </c>
      <c r="F1" s="23" t="s">
        <v>19</v>
      </c>
      <c r="G1" s="33" t="s">
        <v>21</v>
      </c>
    </row>
    <row r="2" spans="1:14" x14ac:dyDescent="0.3">
      <c r="A2" s="6">
        <v>1</v>
      </c>
      <c r="B2" s="2">
        <v>101</v>
      </c>
      <c r="C2" s="20" t="str">
        <f>IFERROR(VLOOKUP(B2,Products!$A$1:$B$8,2,0), "Product does not Exist!")</f>
        <v>Product A</v>
      </c>
      <c r="D2" s="2">
        <v>2</v>
      </c>
      <c r="E2" s="24">
        <f>VLOOKUP(Table1[[#This Row],[ProductID]],Products!$A$1:$C$7,3,0)</f>
        <v>120</v>
      </c>
      <c r="F2" s="25">
        <f>PRODUCT(D2,Table1[[#This Row],[Price]])</f>
        <v>240</v>
      </c>
      <c r="G2" s="34">
        <f>Table1[[#This Row],[Price]]*90%</f>
        <v>108</v>
      </c>
      <c r="N2" s="31"/>
    </row>
    <row r="3" spans="1:14" x14ac:dyDescent="0.3">
      <c r="A3" s="6">
        <v>2</v>
      </c>
      <c r="B3" s="2">
        <v>103</v>
      </c>
      <c r="C3" s="20" t="str">
        <f>IFERROR(VLOOKUP(B3,Products!$A$1:$B$8,2,0), "Product does not Exist!")</f>
        <v>Product C</v>
      </c>
      <c r="D3" s="2">
        <v>1</v>
      </c>
      <c r="E3" s="25">
        <f>VLOOKUP(Table1[[#This Row],[ProductID]],Products!$A$1:$C$7,3,0)</f>
        <v>200</v>
      </c>
      <c r="F3" s="25">
        <f>PRODUCT(D3,Table1[[#This Row],[Price]])</f>
        <v>200</v>
      </c>
      <c r="G3" s="35">
        <f>Table1[[#This Row],[Price]]*90%</f>
        <v>180</v>
      </c>
      <c r="J3" s="47"/>
      <c r="K3" s="47"/>
      <c r="N3" s="31"/>
    </row>
    <row r="4" spans="1:14" x14ac:dyDescent="0.3">
      <c r="A4" s="6">
        <v>3</v>
      </c>
      <c r="B4" s="2">
        <v>105</v>
      </c>
      <c r="C4" s="20" t="str">
        <f>IFERROR(VLOOKUP(B4,Products!$A$1:$B$8,2,0), "Product does not Exist!")</f>
        <v>Product E</v>
      </c>
      <c r="D4" s="2">
        <v>4</v>
      </c>
      <c r="E4" s="25">
        <f>VLOOKUP(Table1[[#This Row],[ProductID]],Products!$A$1:$C$7,3,0)</f>
        <v>220</v>
      </c>
      <c r="F4" s="25">
        <f>PRODUCT(D4,Table1[[#This Row],[Price]])</f>
        <v>880</v>
      </c>
      <c r="G4" s="35">
        <f>Table1[[#This Row],[Price]]*90%</f>
        <v>198</v>
      </c>
      <c r="J4" s="31"/>
      <c r="K4" s="31"/>
      <c r="N4" s="31"/>
    </row>
    <row r="5" spans="1:14" x14ac:dyDescent="0.3">
      <c r="A5" s="6">
        <v>4</v>
      </c>
      <c r="B5" s="2">
        <v>106</v>
      </c>
      <c r="C5" s="20" t="str">
        <f>IFERROR(VLOOKUP(B5,Products!$A$1:$B$8,2,0), "Product does not Exist!")</f>
        <v>Product F</v>
      </c>
      <c r="D5" s="2">
        <v>3</v>
      </c>
      <c r="E5" s="25">
        <f>VLOOKUP(Table1[[#This Row],[ProductID]],Products!$A$1:$C$7,3,0)</f>
        <v>130</v>
      </c>
      <c r="F5" s="25">
        <f>PRODUCT(D5,Table1[[#This Row],[Price]])</f>
        <v>390</v>
      </c>
      <c r="G5" s="35">
        <f>Table1[[#This Row],[Price]]*90%</f>
        <v>117</v>
      </c>
      <c r="N5" s="31"/>
    </row>
    <row r="6" spans="1:14" x14ac:dyDescent="0.3">
      <c r="A6" s="6">
        <v>5</v>
      </c>
      <c r="B6" s="2">
        <v>102</v>
      </c>
      <c r="C6" s="20" t="str">
        <f>IFERROR(VLOOKUP(B6,Products!$A$1:$B$8,2,0), "Product does not Exist!")</f>
        <v>Product B</v>
      </c>
      <c r="D6" s="2">
        <v>5</v>
      </c>
      <c r="E6" s="25">
        <f>VLOOKUP(Table1[[#This Row],[ProductID]],Products!$A$1:$C$7,3,0)</f>
        <v>150</v>
      </c>
      <c r="F6" s="25">
        <f>PRODUCT(D6,Table1[[#This Row],[Price]])</f>
        <v>750</v>
      </c>
      <c r="G6" s="35">
        <f>Table1[[#This Row],[Price]]*90%</f>
        <v>135</v>
      </c>
      <c r="I6" s="1"/>
      <c r="J6" s="1"/>
      <c r="N6" s="31"/>
    </row>
    <row r="7" spans="1:14" x14ac:dyDescent="0.3">
      <c r="A7" s="6">
        <v>6</v>
      </c>
      <c r="B7" s="2">
        <v>104</v>
      </c>
      <c r="C7" s="20" t="str">
        <f>IFERROR(VLOOKUP(B7,Products!$A$1:$B$8,2,0), "Product does not Exist!")</f>
        <v>Product D</v>
      </c>
      <c r="D7" s="2">
        <v>6</v>
      </c>
      <c r="E7" s="25">
        <f>VLOOKUP(Table1[[#This Row],[ProductID]],Products!$A$1:$C$7,3,0)</f>
        <v>90</v>
      </c>
      <c r="F7" s="25">
        <f>PRODUCT(D7,Table1[[#This Row],[Price]])</f>
        <v>540</v>
      </c>
      <c r="G7" s="35">
        <f>Table1[[#This Row],[Price]]*90%</f>
        <v>81</v>
      </c>
      <c r="N7" s="31"/>
    </row>
    <row r="8" spans="1:14" x14ac:dyDescent="0.3">
      <c r="A8" s="11">
        <v>7</v>
      </c>
      <c r="B8" s="12">
        <v>101</v>
      </c>
      <c r="C8" s="21" t="str">
        <f>IFERROR(VLOOKUP(B8,Products!$A$1:$B$8,2,0), "Product does not Exist!")</f>
        <v>Product A</v>
      </c>
      <c r="D8" s="12">
        <v>5</v>
      </c>
      <c r="E8" s="26">
        <f>VLOOKUP(Table1[[#This Row],[ProductID]],Products!$A$1:$C$7,3,0)</f>
        <v>120</v>
      </c>
      <c r="F8" s="26">
        <f>PRODUCT(D8,Table1[[#This Row],[Price]])</f>
        <v>600</v>
      </c>
      <c r="G8" s="36">
        <f>Table1[[#This Row],[Price]]*90%</f>
        <v>108</v>
      </c>
    </row>
    <row r="9" spans="1:14" x14ac:dyDescent="0.3">
      <c r="C9" s="17"/>
    </row>
    <row r="11" spans="1:14" x14ac:dyDescent="0.3">
      <c r="B11" s="27" t="s">
        <v>17</v>
      </c>
      <c r="C11" s="28" t="s">
        <v>20</v>
      </c>
      <c r="H11" s="7" t="s">
        <v>25</v>
      </c>
      <c r="I11" s="39" t="s">
        <v>24</v>
      </c>
      <c r="J11" s="5" t="s">
        <v>26</v>
      </c>
      <c r="L11" s="45" t="s">
        <v>27</v>
      </c>
    </row>
    <row r="12" spans="1:14" x14ac:dyDescent="0.3">
      <c r="B12" s="29">
        <v>101</v>
      </c>
      <c r="C12" s="29" t="str">
        <f>IF(ISNA(VLOOKUP(B12,Products!$A$2:$A$8,1,0)),"Does Not Exist","Exists")</f>
        <v>Exists</v>
      </c>
      <c r="H12" s="8" t="s">
        <v>3</v>
      </c>
      <c r="I12" s="38">
        <f>SUMIF(Table1[Product Name],H12,Table1[Quantity])</f>
        <v>7</v>
      </c>
      <c r="J12" s="2">
        <f>SUMIF(Table1[Product Name],H12,Table1[TotalPrice])</f>
        <v>840</v>
      </c>
      <c r="L12" s="46">
        <f>MAX(J12:J17)</f>
        <v>880</v>
      </c>
    </row>
    <row r="13" spans="1:14" x14ac:dyDescent="0.3">
      <c r="B13" s="29">
        <v>103</v>
      </c>
      <c r="C13" s="29" t="str">
        <f>IF(ISNA(VLOOKUP(B13,Products!$A$2:$A$8,1,0)),"Does Not Exist","Exists")</f>
        <v>Exists</v>
      </c>
      <c r="H13" s="8" t="s">
        <v>5</v>
      </c>
      <c r="I13" s="38">
        <f>SUMIF(Table1[Product Name],H13,Table1[Quantity])</f>
        <v>1</v>
      </c>
      <c r="J13" s="2">
        <f>SUMIF(Table1[Product Name],H13,Table1[TotalPrice])</f>
        <v>200</v>
      </c>
    </row>
    <row r="14" spans="1:14" x14ac:dyDescent="0.3">
      <c r="B14" s="29">
        <v>105</v>
      </c>
      <c r="C14" s="29" t="str">
        <f>IF(ISNA(VLOOKUP(B14,Products!$A$2:$A$8,1,0)),"Does Not Exist","Exists")</f>
        <v>Exists</v>
      </c>
      <c r="H14" s="8" t="s">
        <v>7</v>
      </c>
      <c r="I14" s="38">
        <f>SUMIF(Table1[Product Name],H14,Table1[Quantity])</f>
        <v>4</v>
      </c>
      <c r="J14" s="2">
        <f>SUMIF(Table1[Product Name],H14,Table1[TotalPrice])</f>
        <v>880</v>
      </c>
    </row>
    <row r="15" spans="1:14" x14ac:dyDescent="0.3">
      <c r="B15" s="29">
        <v>106</v>
      </c>
      <c r="C15" s="29" t="str">
        <f>IF(ISNA(VLOOKUP(B15,Products!$A$2:$A$8,1,0)),"Does Not Exist","Exists")</f>
        <v>Exists</v>
      </c>
      <c r="H15" s="8" t="s">
        <v>8</v>
      </c>
      <c r="I15" s="38">
        <f>SUMIF(Table1[Product Name],H15,Table1[Quantity])</f>
        <v>3</v>
      </c>
      <c r="J15" s="2">
        <f>SUMIF(Table1[Product Name],H15,Table1[TotalPrice])</f>
        <v>390</v>
      </c>
    </row>
    <row r="16" spans="1:14" x14ac:dyDescent="0.3">
      <c r="B16" s="29">
        <v>102</v>
      </c>
      <c r="C16" s="29" t="str">
        <f>IF(ISNA(VLOOKUP(B16,Products!$A$2:$A$8,1,0)),"Does Not Exist","Exists")</f>
        <v>Exists</v>
      </c>
      <c r="H16" s="8" t="s">
        <v>4</v>
      </c>
      <c r="I16" s="38">
        <f>SUMIF(Table1[Product Name],H16,Table1[Quantity])</f>
        <v>5</v>
      </c>
      <c r="J16" s="2">
        <f>SUMIF(Table1[Product Name],H16,Table1[TotalPrice])</f>
        <v>750</v>
      </c>
      <c r="K16" s="31"/>
      <c r="L16" s="31"/>
    </row>
    <row r="17" spans="2:10" x14ac:dyDescent="0.3">
      <c r="B17" s="29">
        <v>104</v>
      </c>
      <c r="C17" s="29" t="str">
        <f>IF(ISNA(VLOOKUP(B17,Products!$A$2:$A$8,1,0)),"Does Not Exist","Exists")</f>
        <v>Exists</v>
      </c>
      <c r="H17" s="8" t="s">
        <v>6</v>
      </c>
      <c r="I17" s="38">
        <f>SUMIF(Table1[Product Name],H17,Table1[Quantity])</f>
        <v>6</v>
      </c>
      <c r="J17" s="2">
        <f>SUMIF(Table1[Product Name],H17,Table1[TotalPrice])</f>
        <v>540</v>
      </c>
    </row>
    <row r="18" spans="2:10" x14ac:dyDescent="0.3">
      <c r="B18" s="29">
        <v>108</v>
      </c>
      <c r="C18" s="29" t="str">
        <f>IF(ISNA(VLOOKUP(B18,Products!$A$2:$A$8,1,0)),"Does Not Exist","Exists")</f>
        <v>Does Not Exist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Srabani Kar</dc:creator>
  <cp:lastModifiedBy>Rupak Sarkar</cp:lastModifiedBy>
  <dcterms:created xsi:type="dcterms:W3CDTF">2026-10-07T07:43:18Z</dcterms:created>
  <dcterms:modified xsi:type="dcterms:W3CDTF">2026-10-14T08:14:31Z</dcterms:modified>
</cp:coreProperties>
</file>